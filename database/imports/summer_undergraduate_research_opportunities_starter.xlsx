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e237345fdc47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62d68a733ec4bf2"/>
    <x:sheet xmlns:r="http://schemas.openxmlformats.org/officeDocument/2006/relationships" name="Programs" sheetId="2" r:id="R0248bfdfb5274c4a"/>
    <x:sheet xmlns:r="http://schemas.openxmlformats.org/officeDocument/2006/relationships" name="Sources" sheetId="3" r:id="Rd8da1b4a693542bd"/>
    <x:sheet xmlns:r="http://schemas.openxmlformats.org/officeDocument/2006/relationships" name="Categories" sheetId="4" r:id="Ra0f20d1500094e8a"/>
    <x:sheet xmlns:r="http://schemas.openxmlformats.org/officeDocument/2006/relationships" name="Dashboard" sheetId="5" r:id="R0eb15f8fc2b445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$#,##0"/>
    <x:numFmt numFmtId="202" formatCode="0.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53B50"/>
      <x:name val="Carlito"/>
    </x:font>
    <x:font>
      <x:sz val="11"/>
      <x:color rgb="FF344054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53B50"/>
      </x:patternFill>
    </x:fill>
    <x:fill>
      <x:patternFill patternType="solid">
        <x:fgColor rgb="FFDDECEF"/>
      </x:patternFill>
    </x:fill>
    <x:fill>
      <x:patternFill patternType="solid">
        <x:fgColor rgb="FFF5F7F8"/>
      </x:patternFill>
    </x:fill>
    <x:fill>
      <x:patternFill patternType="solid">
        <x:fgColor rgb="FF1F6E78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eac97b224b4181" /><Relationship Type="http://schemas.openxmlformats.org/officeDocument/2006/relationships/theme" Target="/xl/theme/theme1.xml" Id="Rd2066b9259d64f55" /><Relationship Type="http://schemas.openxmlformats.org/officeDocument/2006/relationships/sharedStrings" Target="/xl/sharedStrings.xml" Id="R138bd7ce59d04be9" /><Relationship Type="http://schemas.openxmlformats.org/officeDocument/2006/relationships/worksheet" Target="/xl/worksheets/sheet1.xml" Id="R162d68a733ec4bf2" /><Relationship Type="http://schemas.openxmlformats.org/officeDocument/2006/relationships/worksheet" Target="/xl/worksheets/sheet2.xml" Id="R0248bfdfb5274c4a" /><Relationship Type="http://schemas.openxmlformats.org/officeDocument/2006/relationships/worksheet" Target="/xl/worksheets/sheet3.xml" Id="Rd8da1b4a693542bd" /><Relationship Type="http://schemas.openxmlformats.org/officeDocument/2006/relationships/worksheet" Target="/xl/worksheets/sheet4.xml" Id="Ra0f20d1500094e8a" /><Relationship Type="http://schemas.openxmlformats.org/officeDocument/2006/relationships/worksheet" Target="/xl/worksheets/sheet5.xml" Id="R0eb15f8fc2b445e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f2beedcbba2477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Programs by primary research category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'Dashboard'!$D$5:$D$16</c:f>
              <c:strCache>
                <c:ptCount val="0"/>
              </c:strCache>
            </c:strRef>
          </c:cat>
          <c:val>
            <c:numRef>
              <c:f>'Dashboard'!$E$5:$E$16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f2beedcbba2477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gramsTable" displayName="ProgramsTable" ref="A1:AL36" headerRowCount="1" totalsRowCount="0" totalsRowShown="0">
  <x:tableColumns count="38">
    <x:tableColumn id="1" name="Program_ID"/>
    <x:tableColumn id="2" name="Program_Name"/>
    <x:tableColumn id="3" name="Host_Institution"/>
    <x:tableColumn id="4" name="Network_Source"/>
    <x:tableColumn id="5" name="Program_Type"/>
    <x:tableColumn id="6" name="Primary_Field"/>
    <x:tableColumn id="7" name="Field_Tags"/>
    <x:tableColumn id="8" name="City"/>
    <x:tableColumn id="9" name="State"/>
    <x:tableColumn id="10" name="Country"/>
    <x:tableColumn id="11" name="Location_Scope"/>
    <x:tableColumn id="12" name="Format"/>
    <x:tableColumn id="13" name="External_Applicants"/>
    <x:tableColumn id="14" name="Citizenship"/>
    <x:tableColumn id="15" name="Eligible_Years"/>
    <x:tableColumn id="16" name="Min_GPA"/>
    <x:tableColumn id="17" name="Duration_Weeks"/>
    <x:tableColumn id="18" name="Program_Start"/>
    <x:tableColumn id="19" name="Program_End"/>
    <x:tableColumn id="20" name="Application_Open"/>
    <x:tableColumn id="21" name="Application_Deadline"/>
    <x:tableColumn id="22" name="Deadline_Text"/>
    <x:tableColumn id="23" name="Cycle_Year"/>
    <x:tableColumn id="24" name="Status"/>
    <x:tableColumn id="25" name="Stipend_Total_USD"/>
    <x:tableColumn id="26" name="Stipend_Weekly_USD"/>
    <x:tableColumn id="27" name="Housing_Included"/>
    <x:tableColumn id="28" name="Housing_Details"/>
    <x:tableColumn id="29" name="Meals_Included"/>
    <x:tableColumn id="30" name="Meals_Details"/>
    <x:tableColumn id="31" name="Travel_Included"/>
    <x:tableColumn id="32" name="Travel_Details"/>
    <x:tableColumn id="33" name="Academic_Credit"/>
    <x:tableColumn id="34" name="Program_URL"/>
    <x:tableColumn id="35" name="Application_URL"/>
    <x:tableColumn id="36" name="Last_Verified"/>
    <x:tableColumn id="37" name="Data_Confidence"/>
    <x:tableColumn id="38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sTable" displayName="SourcesTable" ref="A1:E12" headerRowCount="1" totalsRowCount="0" totalsRowShown="0">
  <x:tableColumns count="5">
    <x:tableColumn id="1" name="Source / Network"/>
    <x:tableColumn id="2" name="URL"/>
    <x:tableColumn id="3" name="Scope"/>
    <x:tableColumn id="4" name="Best use"/>
    <x:tableColumn id="5" name="Limitations /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50c948b9d6f40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4bc79b7877d4ce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e56f0d405d334739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6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0" customHeight="1">
      <x:c r="A1" s="4" t="str">
        <x:v>Summer Undergraduate Research Opportunities — Starter Master Catalog</x:v>
      </x:c>
      <x:c r="B1" s="4"/>
      <x:c r="C1" s="4"/>
      <x:c r="D1" s="4"/>
      <x:c r="E1" s="4"/>
      <x:c r="F1" s="4"/>
      <x:c r="G1" s="4"/>
      <x:c r="H1" s="4"/>
    </x:row>
    <x:row r="3" ht="34" customHeight="1">
      <x:c r="A3" s="12" t="str">
        <x:v>Snapshot date</x:v>
      </x:c>
      <x:c r="B3" s="13" t="str">
        <x:v>2026-08-31</x:v>
      </x:c>
    </x:row>
    <x:row r="4" ht="34" customHeight="1">
      <x:c r="A4" s="12" t="str">
        <x:v>What this is</x:v>
      </x:c>
      <x:c r="B4" s="13" t="str">
        <x:v>A verified starter catalog designed to become a comprehensive, refreshable database of summer undergraduate research experiences.</x:v>
      </x:c>
    </x:row>
    <x:row r="5" ht="34" customHeight="1">
      <x:c r="A5" s="12" t="str">
        <x:v>Scope</x:v>
      </x:c>
      <x:c r="B5" s="13" t="str">
        <x:v>National/federal programs, major multi-institution networks, NSF REU examples, and university/institute SURP/SURF/SURE-style programs.</x:v>
      </x:c>
    </x:row>
    <x:row r="6" ht="34" customHeight="1">
      <x:c r="A6" s="12" t="str">
        <x:v>Important limitation</x:v>
      </x:c>
      <x:c r="B6" s="13" t="str">
        <x:v>This is not yet every program in the U.S. Program pages change throughout fall/winter; rows are intentionally flagged when dates or benefits are not yet posted.</x:v>
      </x:c>
    </x:row>
    <x:row r="7" ht="34" customHeight="1">
      <x:c r="A7" s="12" t="str">
        <x:v>Best sheet to use</x:v>
      </x:c>
      <x:c r="B7" s="13" t="str">
        <x:v>Programs — use Excel filters on any column.</x:v>
      </x:c>
    </x:row>
    <x:row r="8" ht="34" customHeight="1">
      <x:c r="A8" s="12" t="str">
        <x:v>CSV</x:v>
      </x:c>
      <x:c r="B8" s="13" t="str">
        <x:v>A matching raw CSV is included separately for scripts, agents, Airtable, Notion, databases, or web apps.</x:v>
      </x:c>
    </x:row>
    <x:row r="9" ht="34" customHeight="1">
      <x:c r="A9" s="12" t="str">
        <x:v>External applicants</x:v>
      </x:c>
      <x:c r="B9" s="13" t="str">
        <x:v>Filter External_Applicants = Yes to remove home-institution-only programs as this database expands.</x:v>
      </x:c>
    </x:row>
    <x:row r="10" ht="34" customHeight="1">
      <x:c r="A10" s="12" t="str">
        <x:v>Money comparison</x:v>
      </x:c>
      <x:c r="B10" s="13" t="str">
        <x:v>Use Stipend_Total_USD together with housing, meals, and travel. A lower stipend with room/board included may be worth more net.</x:v>
      </x:c>
    </x:row>
    <x:row r="11" ht="34" customHeight="1">
      <x:c r="A11" s="12" t="str">
        <x:v>Unknown values</x:v>
      </x:c>
      <x:c r="B11" s="13" t="str">
        <x:v>Not specified/Varies/blank means the source did not support a precise value; nothing is inferred.</x:v>
      </x:c>
    </x:row>
    <x:row r="13">
      <x:c r="A13" s="9" t="str">
        <x:v>Suggested scalable collection workflow</x:v>
      </x:c>
      <x:c r="B13" s="9"/>
      <x:c r="C13" s="9"/>
      <x:c r="D13" s="9"/>
      <x:c r="E13" s="9"/>
      <x:c r="F13" s="9"/>
      <x:c r="G13" s="9"/>
      <x:c r="H13" s="9"/>
    </x:row>
    <x:row r="14" ht="42" customHeight="1">
      <x:c r="A14" s="12" t="str">
        <x:v>1. Discovery agents</x:v>
      </x:c>
      <x:c r="B14" s="13" t="str">
        <x:v>Search NSF REU/ETAP, PathwaysToScience, major networks, federal programs, and university/institute domains for REU, SURP, SURF, SURE, summer scholars, undergraduate research, and related terms.</x:v>
      </x:c>
    </x:row>
    <x:row r="15" ht="42" customHeight="1">
      <x:c r="A15" s="12" t="str">
        <x:v>2. Extraction agents</x:v>
      </x:c>
      <x:c r="B15" s="13" t="str">
        <x:v>Normalize each program into this schema: location, field, eligibility, dates, stipend, housing, meals, travel, links, and cycle.</x:v>
      </x:c>
    </x:row>
    <x:row r="16" ht="42" customHeight="1">
      <x:c r="A16" s="12" t="str">
        <x:v>3. Verification agent</x:v>
      </x:c>
      <x:c r="B16" s="13" t="str">
        <x:v>Open the official program page, prefer primary-source details, flag conflicts, and never fill missing benefits by assumption.</x:v>
      </x:c>
    </x:row>
    <x:row r="17" ht="42" customHeight="1">
      <x:c r="A17" s="12" t="str">
        <x:v>4. Deduplication/classification</x:v>
      </x:c>
      <x:c r="B17" s="13" t="str">
        <x:v>Merge duplicate umbrella/host entries where appropriate and assign controlled field categories plus free-text tags.</x:v>
      </x:c>
    </x:row>
    <x:row r="18" ht="42" customHeight="1">
      <x:c r="A18" s="12" t="str">
        <x:v>5. Update agent</x:v>
      </x:c>
      <x:c r="B18" s="13" t="str">
        <x:v>Recheck records from September through March and mark changed deadlines, stipend, dates, or eligibility.</x:v>
      </x:c>
    </x:row>
    <x:row r="20">
      <x:c r="A20" s="9" t="str">
        <x:v>Recommended filters already included in the Programs sheet</x:v>
      </x:c>
      <x:c r="B20" s="9"/>
      <x:c r="C20" s="9"/>
      <x:c r="D20" s="9"/>
      <x:c r="E20" s="9"/>
      <x:c r="F20" s="9"/>
      <x:c r="G20" s="9"/>
      <x:c r="H20" s="9"/>
    </x:row>
    <x:row r="21">
      <x:c r="A21" s="20" t="str">
        <x:v>Field/category • state • city • country • external applicants • citizenship • class year • GPA • duration • deadline • cycle year • stipend • housing • meals • travel • academic credit • confidence/status</x:v>
      </x:c>
      <x:c r="B21" s="20"/>
      <x:c r="C21" s="20"/>
      <x:c r="D21" s="20"/>
      <x:c r="E21" s="20"/>
      <x:c r="F21" s="20"/>
      <x:c r="G21" s="20"/>
      <x:c r="H21" s="20"/>
    </x:row>
    <x:row r="22">
      <x:c r="A22" s="20"/>
      <x:c r="B22" s="20"/>
      <x:c r="C22" s="20"/>
      <x:c r="D22" s="20"/>
      <x:c r="E22" s="20"/>
      <x:c r="F22" s="20"/>
      <x:c r="G22" s="20"/>
      <x:c r="H22" s="20"/>
    </x:row>
  </x:sheetData>
  <x:mergeCells>
    <x:mergeCell ref="A1:H1"/>
    <x:mergeCell ref="A13:H13"/>
    <x:mergeCell ref="A20:H20"/>
    <x:mergeCell ref="A21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30" hidden="0" customWidth="1"/>
    <x:col min="4" max="4" width="24" hidden="0" customWidth="1"/>
    <x:col min="5" max="5" width="24" hidden="0" customWidth="1"/>
    <x:col min="6" max="6" width="24" hidden="0" customWidth="1"/>
    <x:col min="7" max="7" width="42" hidden="0" customWidth="1"/>
    <x:col min="8" max="8" width="20" hidden="0" customWidth="1"/>
    <x:col min="9" max="9" width="12" hidden="0" customWidth="1"/>
    <x:col min="10" max="10" width="14" hidden="0" customWidth="1"/>
    <x:col min="11" max="11" width="24" hidden="0" customWidth="1"/>
    <x:col min="12" max="12" width="16" hidden="0" customWidth="1"/>
    <x:col min="13" max="13" width="18" hidden="0" customWidth="1"/>
    <x:col min="14" max="14" width="34" hidden="0" customWidth="1"/>
    <x:col min="15" max="15" width="42" hidden="0" customWidth="1"/>
    <x:col min="16" max="16" width="10" hidden="0" customWidth="1"/>
    <x:col min="17" max="17" width="12" hidden="0" customWidth="1"/>
    <x:col min="18" max="18" width="13" hidden="0" customWidth="1"/>
    <x:col min="19" max="19" width="13" hidden="0" customWidth="1"/>
    <x:col min="20" max="20" width="13" hidden="0" customWidth="1"/>
    <x:col min="21" max="21" width="15" hidden="0" customWidth="1"/>
    <x:col min="22" max="22" width="38" hidden="0" customWidth="1"/>
    <x:col min="23" max="23" width="11" hidden="0" customWidth="1"/>
    <x:col min="24" max="24" width="38" hidden="0" customWidth="1"/>
    <x:col min="25" max="25" width="16" hidden="0" customWidth="1"/>
    <x:col min="26" max="26" width="16" hidden="0" customWidth="1"/>
    <x:col min="27" max="27" width="17" hidden="0" customWidth="1"/>
    <x:col min="28" max="28" width="40" hidden="0" customWidth="1"/>
    <x:col min="29" max="29" width="15" hidden="0" customWidth="1"/>
    <x:col min="30" max="30" width="34" hidden="0" customWidth="1"/>
    <x:col min="31" max="31" width="16" hidden="0" customWidth="1"/>
    <x:col min="32" max="32" width="38" hidden="0" customWidth="1"/>
    <x:col min="33" max="33" width="16" hidden="0" customWidth="1"/>
    <x:col min="34" max="34" width="46" hidden="0" customWidth="1"/>
    <x:col min="35" max="35" width="46" hidden="0" customWidth="1"/>
    <x:col min="36" max="36" width="14" hidden="0" customWidth="1"/>
    <x:col min="37" max="37" width="16" hidden="0" customWidth="1"/>
    <x:col min="38" max="38" width="48" hidden="0" customWidth="1"/>
  </x:cols>
  <x:sheetData>
    <x:row r="1" ht="38" customHeight="1">
      <x:c r="A1" s="27" t="str">
        <x:v>Program_ID</x:v>
      </x:c>
      <x:c r="B1" s="27" t="str">
        <x:v>Program_Name</x:v>
      </x:c>
      <x:c r="C1" s="27" t="str">
        <x:v>Host_Institution</x:v>
      </x:c>
      <x:c r="D1" s="27" t="str">
        <x:v>Network_Source</x:v>
      </x:c>
      <x:c r="E1" s="27" t="str">
        <x:v>Program_Type</x:v>
      </x:c>
      <x:c r="F1" s="27" t="str">
        <x:v>Primary_Field</x:v>
      </x:c>
      <x:c r="G1" s="27" t="str">
        <x:v>Field_Tags</x:v>
      </x:c>
      <x:c r="H1" s="27" t="str">
        <x:v>City</x:v>
      </x:c>
      <x:c r="I1" s="27" t="str">
        <x:v>State</x:v>
      </x:c>
      <x:c r="J1" s="27" t="str">
        <x:v>Country</x:v>
      </x:c>
      <x:c r="K1" s="27" t="str">
        <x:v>Location_Scope</x:v>
      </x:c>
      <x:c r="L1" s="27" t="str">
        <x:v>Format</x:v>
      </x:c>
      <x:c r="M1" s="27" t="str">
        <x:v>External_Applicants</x:v>
      </x:c>
      <x:c r="N1" s="27" t="str">
        <x:v>Citizenship</x:v>
      </x:c>
      <x:c r="O1" s="27" t="str">
        <x:v>Eligible_Years</x:v>
      </x:c>
      <x:c r="P1" s="27" t="str">
        <x:v>Min_GPA</x:v>
      </x:c>
      <x:c r="Q1" s="27" t="str">
        <x:v>Duration_Weeks</x:v>
      </x:c>
      <x:c r="R1" s="27" t="str">
        <x:v>Program_Start</x:v>
      </x:c>
      <x:c r="S1" s="27" t="str">
        <x:v>Program_End</x:v>
      </x:c>
      <x:c r="T1" s="27" t="str">
        <x:v>Application_Open</x:v>
      </x:c>
      <x:c r="U1" s="27" t="str">
        <x:v>Application_Deadline</x:v>
      </x:c>
      <x:c r="V1" s="27" t="str">
        <x:v>Deadline_Text</x:v>
      </x:c>
      <x:c r="W1" s="27" t="str">
        <x:v>Cycle_Year</x:v>
      </x:c>
      <x:c r="X1" s="27" t="str">
        <x:v>Status</x:v>
      </x:c>
      <x:c r="Y1" s="27" t="str">
        <x:v>Stipend_Total_USD</x:v>
      </x:c>
      <x:c r="Z1" s="27" t="str">
        <x:v>Stipend_Weekly_USD</x:v>
      </x:c>
      <x:c r="AA1" s="27" t="str">
        <x:v>Housing_Included</x:v>
      </x:c>
      <x:c r="AB1" s="27" t="str">
        <x:v>Housing_Details</x:v>
      </x:c>
      <x:c r="AC1" s="27" t="str">
        <x:v>Meals_Included</x:v>
      </x:c>
      <x:c r="AD1" s="27" t="str">
        <x:v>Meals_Details</x:v>
      </x:c>
      <x:c r="AE1" s="27" t="str">
        <x:v>Travel_Included</x:v>
      </x:c>
      <x:c r="AF1" s="27" t="str">
        <x:v>Travel_Details</x:v>
      </x:c>
      <x:c r="AG1" s="27" t="str">
        <x:v>Academic_Credit</x:v>
      </x:c>
      <x:c r="AH1" s="27" t="str">
        <x:v>Program_URL</x:v>
      </x:c>
      <x:c r="AI1" s="27" t="str">
        <x:v>Application_URL</x:v>
      </x:c>
      <x:c r="AJ1" s="27" t="str">
        <x:v>Last_Verified</x:v>
      </x:c>
      <x:c r="AK1" s="27" t="str">
        <x:v>Data_Confidence</x:v>
      </x:c>
      <x:c r="AL1" s="27" t="str">
        <x:v>Notes</x:v>
      </x:c>
    </x:row>
    <x:row r="2" ht="42" customHeight="1">
      <x:c r="A2" s="13" t="str">
        <x:v>SROP-IA</x:v>
      </x:c>
      <x:c r="B2" s="13" t="str">
        <x:v>Big Ten SROP – University of Iowa</x:v>
      </x:c>
      <x:c r="C2" s="13" t="str">
        <x:v>University of Iowa</x:v>
      </x:c>
      <x:c r="D2" s="13" t="str">
        <x:v>Big Ten Academic Alliance SROP</x:v>
      </x:c>
      <x:c r="E2" s="13" t="str">
        <x:v>SROP / multidisciplinary summer research</x:v>
      </x:c>
      <x:c r="F2" s="13" t="str">
        <x:v>Multidisciplinary</x:v>
      </x:c>
      <x:c r="G2" s="13" t="str">
        <x:v>PhD-oriented research; STEM; social sciences; humanities; varies by host</x:v>
      </x:c>
      <x:c r="H2" s="13" t="str">
        <x:v>Iowa City</x:v>
      </x:c>
      <x:c r="I2" s="13" t="str">
        <x:v>IA</x:v>
      </x:c>
      <x:c r="J2" s="13" t="str">
        <x:v>USA</x:v>
      </x:c>
      <x:c r="K2" s="13" t="str">
        <x:v>On-site host campus</x:v>
      </x:c>
      <x:c r="L2" s="13" t="str">
        <x:v>In person</x:v>
      </x:c>
      <x:c r="M2" s="13" t="str">
        <x:v>Yes</x:v>
      </x:c>
      <x:c r="N2" s="13" t="str">
        <x:v>U.S. citizen or permanent resident</x:v>
      </x:c>
      <x:c r="O2" s="13" t="str">
        <x:v>Undergraduate; ≥2 semesters completed; ≥1 semester remaining after summer</x:v>
      </x:c>
      <x:c r="P2" s="40" t="n">
        <x:v>3</x:v>
      </x:c>
      <x:c r="Q2" s="40" t="n">
        <x:v>8.3</x:v>
      </x:c>
      <x:c r="R2" s="32" t="n">
        <x:v>46177</x:v>
      </x:c>
      <x:c r="S2" s="32" t="n">
        <x:v>46234</x:v>
      </x:c>
      <x:c r="T2" s="32" t="n">
        <x:v>45962</x:v>
      </x:c>
      <x:c r="U2" s="32" t="n">
        <x:v>46063</x:v>
      </x:c>
      <x:c r="V2" s="13" t="str">
        <x:v>2026 shared application: Nov 1–Feb 10</x:v>
      </x:c>
      <x:c r="W2" s="13" t="n">
        <x:v>2026</x:v>
      </x:c>
      <x:c r="X2" s="13" t="str">
        <x:v>2026 closed; 2027 cycle expected Nov–Feb</x:v>
      </x:c>
      <x:c r="Y2" s="36" t="n">
        <x:v>4000</x:v>
      </x:c>
      <x:c r="Z2" s="36"/>
      <x:c r="AA2" s="13" t="str">
        <x:v>Yes</x:v>
      </x:c>
      <x:c r="AB2" s="13" t="str">
        <x:v>Campus housing</x:v>
      </x:c>
      <x:c r="AC2" s="13" t="str">
        <x:v>Yes</x:v>
      </x:c>
      <x:c r="AD2" s="13" t="str">
        <x:v>Meal support included</x:v>
      </x:c>
      <x:c r="AE2" s="13" t="str">
        <x:v>Yes</x:v>
      </x:c>
      <x:c r="AF2" s="13" t="str">
        <x:v>Travel support included</x:v>
      </x:c>
      <x:c r="AG2" s="13" t="str">
        <x:v>Partial</x:v>
      </x:c>
      <x:c r="AH2" s="13" t="str">
        <x:v>https://btaa.org/resources-for/students/srop/campus-profiles</x:v>
      </x:c>
      <x:c r="AI2" s="13" t="str">
        <x:v>https://apps.btaa.org/srop/apply</x:v>
      </x:c>
      <x:c r="AJ2" s="32" t="n">
        <x:v>46265</x:v>
      </x:c>
      <x:c r="AK2" s="13" t="str">
        <x:v>High</x:v>
      </x:c>
      <x:c r="AL2" s="13" t="str">
        <x:v>Shared SROP application permits selection of multiple participating universities; intended for students interested in PhD study.</x:v>
      </x:c>
    </x:row>
    <x:row r="3" ht="42" customHeight="1">
      <x:c r="A3" s="13" t="str">
        <x:v>SROP-MD</x:v>
      </x:c>
      <x:c r="B3" s="13" t="str">
        <x:v>Big Ten SROP – University of Maryland</x:v>
      </x:c>
      <x:c r="C3" s="13" t="str">
        <x:v>University of Maryland</x:v>
      </x:c>
      <x:c r="D3" s="13" t="str">
        <x:v>Big Ten Academic Alliance SROP</x:v>
      </x:c>
      <x:c r="E3" s="13" t="str">
        <x:v>SROP / multidisciplinary summer research</x:v>
      </x:c>
      <x:c r="F3" s="13" t="str">
        <x:v>Multidisciplinary</x:v>
      </x:c>
      <x:c r="G3" s="13" t="str">
        <x:v>PhD-oriented research; STEM; social sciences; humanities; varies by host</x:v>
      </x:c>
      <x:c r="H3" s="13" t="str">
        <x:v>College Park</x:v>
      </x:c>
      <x:c r="I3" s="13" t="str">
        <x:v>MD</x:v>
      </x:c>
      <x:c r="J3" s="13" t="str">
        <x:v>USA</x:v>
      </x:c>
      <x:c r="K3" s="13" t="str">
        <x:v>On-site host campus</x:v>
      </x:c>
      <x:c r="L3" s="13" t="str">
        <x:v>In person</x:v>
      </x:c>
      <x:c r="M3" s="13" t="str">
        <x:v>Yes</x:v>
      </x:c>
      <x:c r="N3" s="13" t="str">
        <x:v>U.S. citizen or permanent resident</x:v>
      </x:c>
      <x:c r="O3" s="13" t="str">
        <x:v>Undergraduate; ≥2 semesters completed; ≥1 semester remaining after summer</x:v>
      </x:c>
      <x:c r="P3" s="40" t="n">
        <x:v>3</x:v>
      </x:c>
      <x:c r="Q3" s="40" t="n">
        <x:v>8</x:v>
      </x:c>
      <x:c r="R3" s="32" t="n">
        <x:v>46172</x:v>
      </x:c>
      <x:c r="S3" s="32" t="n">
        <x:v>46228</x:v>
      </x:c>
      <x:c r="T3" s="32" t="n">
        <x:v>45962</x:v>
      </x:c>
      <x:c r="U3" s="32" t="n">
        <x:v>46063</x:v>
      </x:c>
      <x:c r="V3" s="13" t="str">
        <x:v>2026 shared application: Nov 1–Feb 10</x:v>
      </x:c>
      <x:c r="W3" s="13" t="n">
        <x:v>2026</x:v>
      </x:c>
      <x:c r="X3" s="13" t="str">
        <x:v>2026 closed; 2027 cycle expected Nov–Feb</x:v>
      </x:c>
      <x:c r="Y3" s="36" t="n">
        <x:v>4000</x:v>
      </x:c>
      <x:c r="Z3" s="36"/>
      <x:c r="AA3" s="13" t="str">
        <x:v>Yes</x:v>
      </x:c>
      <x:c r="AB3" s="13" t="str">
        <x:v>Campus housing</x:v>
      </x:c>
      <x:c r="AC3" s="13" t="str">
        <x:v>Yes</x:v>
      </x:c>
      <x:c r="AD3" s="13" t="str">
        <x:v>Meal support included</x:v>
      </x:c>
      <x:c r="AE3" s="13" t="str">
        <x:v>Yes</x:v>
      </x:c>
      <x:c r="AF3" s="13" t="str">
        <x:v>Travel support included</x:v>
      </x:c>
      <x:c r="AG3" s="13" t="str">
        <x:v>No</x:v>
      </x:c>
      <x:c r="AH3" s="13" t="str">
        <x:v>https://btaa.org/resources-for/students/srop/campus-profiles</x:v>
      </x:c>
      <x:c r="AI3" s="13" t="str">
        <x:v>https://apps.btaa.org/srop/apply</x:v>
      </x:c>
      <x:c r="AJ3" s="32" t="n">
        <x:v>46265</x:v>
      </x:c>
      <x:c r="AK3" s="13" t="str">
        <x:v>High</x:v>
      </x:c>
      <x:c r="AL3" s="13" t="str">
        <x:v>Shared SROP application permits selection of multiple participating universities; intended for students interested in PhD study.</x:v>
      </x:c>
    </x:row>
    <x:row r="4" ht="42" customHeight="1">
      <x:c r="A4" s="13" t="str">
        <x:v>SROP-MI</x:v>
      </x:c>
      <x:c r="B4" s="13" t="str">
        <x:v>Big Ten SROP – University of Michigan</x:v>
      </x:c>
      <x:c r="C4" s="13" t="str">
        <x:v>University of Michigan</x:v>
      </x:c>
      <x:c r="D4" s="13" t="str">
        <x:v>Big Ten Academic Alliance SROP</x:v>
      </x:c>
      <x:c r="E4" s="13" t="str">
        <x:v>SROP / multidisciplinary summer research</x:v>
      </x:c>
      <x:c r="F4" s="13" t="str">
        <x:v>Multidisciplinary</x:v>
      </x:c>
      <x:c r="G4" s="13" t="str">
        <x:v>PhD-oriented research; STEM; social sciences; humanities; varies by host</x:v>
      </x:c>
      <x:c r="H4" s="13" t="str">
        <x:v>Ann Arbor</x:v>
      </x:c>
      <x:c r="I4" s="13" t="str">
        <x:v>MI</x:v>
      </x:c>
      <x:c r="J4" s="13" t="str">
        <x:v>USA</x:v>
      </x:c>
      <x:c r="K4" s="13" t="str">
        <x:v>On-site host campus</x:v>
      </x:c>
      <x:c r="L4" s="13" t="str">
        <x:v>In person</x:v>
      </x:c>
      <x:c r="M4" s="13" t="str">
        <x:v>Yes</x:v>
      </x:c>
      <x:c r="N4" s="13" t="str">
        <x:v>U.S. citizen or permanent resident</x:v>
      </x:c>
      <x:c r="O4" s="13" t="str">
        <x:v>Undergraduate; ≥2 semesters completed; ≥1 semester remaining after summer</x:v>
      </x:c>
      <x:c r="P4" s="40" t="n">
        <x:v>3</x:v>
      </x:c>
      <x:c r="Q4" s="40" t="n">
        <x:v>10</x:v>
      </x:c>
      <x:c r="R4" s="32" t="n">
        <x:v>46165</x:v>
      </x:c>
      <x:c r="S4" s="32" t="n">
        <x:v>46233</x:v>
      </x:c>
      <x:c r="T4" s="32" t="n">
        <x:v>45962</x:v>
      </x:c>
      <x:c r="U4" s="32" t="n">
        <x:v>46063</x:v>
      </x:c>
      <x:c r="V4" s="13" t="str">
        <x:v>2026 shared application: Nov 1–Feb 10</x:v>
      </x:c>
      <x:c r="W4" s="13" t="n">
        <x:v>2026</x:v>
      </x:c>
      <x:c r="X4" s="13" t="str">
        <x:v>2026 closed; 2027 cycle expected Nov–Feb</x:v>
      </x:c>
      <x:c r="Y4" s="36" t="n">
        <x:v>5000</x:v>
      </x:c>
      <x:c r="Z4" s="36"/>
      <x:c r="AA4" s="13" t="str">
        <x:v>Yes</x:v>
      </x:c>
      <x:c r="AB4" s="13" t="str">
        <x:v>Campus housing</x:v>
      </x:c>
      <x:c r="AC4" s="13" t="str">
        <x:v>Yes</x:v>
      </x:c>
      <x:c r="AD4" s="13" t="str">
        <x:v>Meal support included</x:v>
      </x:c>
      <x:c r="AE4" s="13" t="str">
        <x:v>Yes</x:v>
      </x:c>
      <x:c r="AF4" s="13" t="str">
        <x:v>Travel support included</x:v>
      </x:c>
      <x:c r="AG4" s="13" t="str">
        <x:v>No</x:v>
      </x:c>
      <x:c r="AH4" s="13" t="str">
        <x:v>https://btaa.org/resources-for/students/srop/campus-profiles</x:v>
      </x:c>
      <x:c r="AI4" s="13" t="str">
        <x:v>https://apps.btaa.org/srop/apply</x:v>
      </x:c>
      <x:c r="AJ4" s="32" t="n">
        <x:v>46265</x:v>
      </x:c>
      <x:c r="AK4" s="13" t="str">
        <x:v>High</x:v>
      </x:c>
      <x:c r="AL4" s="13" t="str">
        <x:v>Shared SROP application permits selection of multiple participating universities; intended for students interested in PhD study.</x:v>
      </x:c>
    </x:row>
    <x:row r="5" ht="42" customHeight="1">
      <x:c r="A5" s="13" t="str">
        <x:v>SROP-MSU</x:v>
      </x:c>
      <x:c r="B5" s="13" t="str">
        <x:v>Big Ten SROP – Michigan State University</x:v>
      </x:c>
      <x:c r="C5" s="13" t="str">
        <x:v>Michigan State University</x:v>
      </x:c>
      <x:c r="D5" s="13" t="str">
        <x:v>Big Ten Academic Alliance SROP</x:v>
      </x:c>
      <x:c r="E5" s="13" t="str">
        <x:v>SROP / multidisciplinary summer research</x:v>
      </x:c>
      <x:c r="F5" s="13" t="str">
        <x:v>Multidisciplinary</x:v>
      </x:c>
      <x:c r="G5" s="13" t="str">
        <x:v>PhD-oriented research; STEM; social sciences; humanities; varies by host</x:v>
      </x:c>
      <x:c r="H5" s="13" t="str">
        <x:v>East Lansing</x:v>
      </x:c>
      <x:c r="I5" s="13" t="str">
        <x:v>MI</x:v>
      </x:c>
      <x:c r="J5" s="13" t="str">
        <x:v>USA</x:v>
      </x:c>
      <x:c r="K5" s="13" t="str">
        <x:v>On-site host campus</x:v>
      </x:c>
      <x:c r="L5" s="13" t="str">
        <x:v>In person</x:v>
      </x:c>
      <x:c r="M5" s="13" t="str">
        <x:v>Yes</x:v>
      </x:c>
      <x:c r="N5" s="13" t="str">
        <x:v>U.S. citizen or permanent resident</x:v>
      </x:c>
      <x:c r="O5" s="13" t="str">
        <x:v>Undergraduate; ≥2 semesters completed; ≥1 semester remaining after summer</x:v>
      </x:c>
      <x:c r="P5" s="40" t="n">
        <x:v>3</x:v>
      </x:c>
      <x:c r="Q5" s="40" t="n">
        <x:v>10</x:v>
      </x:c>
      <x:c r="R5" s="32" t="n">
        <x:v>46157</x:v>
      </x:c>
      <x:c r="S5" s="32" t="n">
        <x:v>46228</x:v>
      </x:c>
      <x:c r="T5" s="32" t="n">
        <x:v>45962</x:v>
      </x:c>
      <x:c r="U5" s="32" t="n">
        <x:v>46063</x:v>
      </x:c>
      <x:c r="V5" s="13" t="str">
        <x:v>2026 shared application: Nov 1–Feb 10</x:v>
      </x:c>
      <x:c r="W5" s="13" t="n">
        <x:v>2026</x:v>
      </x:c>
      <x:c r="X5" s="13" t="str">
        <x:v>2026 closed; 2027 cycle expected Nov–Feb</x:v>
      </x:c>
      <x:c r="Y5" s="36" t="n">
        <x:v>5000</x:v>
      </x:c>
      <x:c r="Z5" s="36"/>
      <x:c r="AA5" s="13" t="str">
        <x:v>Yes</x:v>
      </x:c>
      <x:c r="AB5" s="13" t="str">
        <x:v>Campus housing</x:v>
      </x:c>
      <x:c r="AC5" s="13" t="str">
        <x:v>Yes</x:v>
      </x:c>
      <x:c r="AD5" s="13" t="str">
        <x:v>Meal support included</x:v>
      </x:c>
      <x:c r="AE5" s="13" t="str">
        <x:v>Yes</x:v>
      </x:c>
      <x:c r="AF5" s="13" t="str">
        <x:v>Travel support included</x:v>
      </x:c>
      <x:c r="AG5" s="13" t="str">
        <x:v>No</x:v>
      </x:c>
      <x:c r="AH5" s="13" t="str">
        <x:v>https://btaa.org/resources-for/students/srop/campus-profiles</x:v>
      </x:c>
      <x:c r="AI5" s="13" t="str">
        <x:v>https://apps.btaa.org/srop/apply</x:v>
      </x:c>
      <x:c r="AJ5" s="32" t="n">
        <x:v>46265</x:v>
      </x:c>
      <x:c r="AK5" s="13" t="str">
        <x:v>High</x:v>
      </x:c>
      <x:c r="AL5" s="13" t="str">
        <x:v>Shared SROP application permits selection of multiple participating universities; intended for students interested in PhD study.</x:v>
      </x:c>
    </x:row>
    <x:row r="6" ht="42" customHeight="1">
      <x:c r="A6" s="13" t="str">
        <x:v>SROP-MN</x:v>
      </x:c>
      <x:c r="B6" s="13" t="str">
        <x:v>Big Ten SROP – University of Minnesota</x:v>
      </x:c>
      <x:c r="C6" s="13" t="str">
        <x:v>University of Minnesota</x:v>
      </x:c>
      <x:c r="D6" s="13" t="str">
        <x:v>Big Ten Academic Alliance SROP</x:v>
      </x:c>
      <x:c r="E6" s="13" t="str">
        <x:v>SROP / multidisciplinary summer research</x:v>
      </x:c>
      <x:c r="F6" s="13" t="str">
        <x:v>Multidisciplinary</x:v>
      </x:c>
      <x:c r="G6" s="13" t="str">
        <x:v>PhD-oriented research; STEM; social sciences; humanities; varies by host</x:v>
      </x:c>
      <x:c r="H6" s="13" t="str">
        <x:v>Minneapolis</x:v>
      </x:c>
      <x:c r="I6" s="13" t="str">
        <x:v>MN</x:v>
      </x:c>
      <x:c r="J6" s="13" t="str">
        <x:v>USA</x:v>
      </x:c>
      <x:c r="K6" s="13" t="str">
        <x:v>On-site host campus</x:v>
      </x:c>
      <x:c r="L6" s="13" t="str">
        <x:v>In person</x:v>
      </x:c>
      <x:c r="M6" s="13" t="str">
        <x:v>Yes</x:v>
      </x:c>
      <x:c r="N6" s="13" t="str">
        <x:v>U.S. citizen or permanent resident</x:v>
      </x:c>
      <x:c r="O6" s="13" t="str">
        <x:v>Undergraduate; ≥2 semesters completed; ≥1 semester remaining after summer</x:v>
      </x:c>
      <x:c r="P6" s="40" t="n">
        <x:v>3</x:v>
      </x:c>
      <x:c r="Q6" s="40"/>
      <x:c r="R6" s="32"/>
      <x:c r="S6" s="32"/>
      <x:c r="T6" s="32" t="n">
        <x:v>45962</x:v>
      </x:c>
      <x:c r="U6" s="32" t="n">
        <x:v>46063</x:v>
      </x:c>
      <x:c r="V6" s="13" t="str">
        <x:v>2026 shared application: Nov 1–Feb 10</x:v>
      </x:c>
      <x:c r="W6" s="13" t="n">
        <x:v>2026</x:v>
      </x:c>
      <x:c r="X6" s="13" t="str">
        <x:v>2026 closed; 2027 cycle expected Nov–Feb</x:v>
      </x:c>
      <x:c r="Y6" s="36"/>
      <x:c r="Z6" s="36"/>
      <x:c r="AA6" s="13" t="str">
        <x:v>Varies</x:v>
      </x:c>
      <x:c r="AB6" s="13" t="str">
        <x:v>TBD in 2026 benefit table</x:v>
      </x:c>
      <x:c r="AC6" s="13" t="str">
        <x:v>Varies</x:v>
      </x:c>
      <x:c r="AD6" s="13" t="str">
        <x:v>TBD in 2026 benefit table</x:v>
      </x:c>
      <x:c r="AE6" s="13" t="str">
        <x:v>Varies</x:v>
      </x:c>
      <x:c r="AF6" s="13" t="str">
        <x:v>TBD in 2026 benefit table</x:v>
      </x:c>
      <x:c r="AG6" s="13" t="str">
        <x:v>Varies</x:v>
      </x:c>
      <x:c r="AH6" s="13" t="str">
        <x:v>https://btaa.org/resources-for/students/srop/campus-profiles</x:v>
      </x:c>
      <x:c r="AI6" s="13" t="str">
        <x:v>https://apps.btaa.org/srop/apply</x:v>
      </x:c>
      <x:c r="AJ6" s="32" t="n">
        <x:v>46265</x:v>
      </x:c>
      <x:c r="AK6" s="13" t="str">
        <x:v>High</x:v>
      </x:c>
      <x:c r="AL6" s="13" t="str">
        <x:v>Shared SROP application permits selection of multiple participating universities; intended for students interested in PhD study.</x:v>
      </x:c>
    </x:row>
    <x:row r="7" ht="42" customHeight="1">
      <x:c r="A7" s="13" t="str">
        <x:v>SROP-NE</x:v>
      </x:c>
      <x:c r="B7" s="13" t="str">
        <x:v>Big Ten SROP – University of Nebraska–Lincoln</x:v>
      </x:c>
      <x:c r="C7" s="13" t="str">
        <x:v>University of Nebraska–Lincoln</x:v>
      </x:c>
      <x:c r="D7" s="13" t="str">
        <x:v>Big Ten Academic Alliance SROP</x:v>
      </x:c>
      <x:c r="E7" s="13" t="str">
        <x:v>SROP / multidisciplinary summer research</x:v>
      </x:c>
      <x:c r="F7" s="13" t="str">
        <x:v>Multidisciplinary</x:v>
      </x:c>
      <x:c r="G7" s="13" t="str">
        <x:v>PhD-oriented research; STEM; social sciences; humanities; varies by host</x:v>
      </x:c>
      <x:c r="H7" s="13" t="str">
        <x:v>Lincoln</x:v>
      </x:c>
      <x:c r="I7" s="13" t="str">
        <x:v>NE</x:v>
      </x:c>
      <x:c r="J7" s="13" t="str">
        <x:v>USA</x:v>
      </x:c>
      <x:c r="K7" s="13" t="str">
        <x:v>On-site host campus</x:v>
      </x:c>
      <x:c r="L7" s="13" t="str">
        <x:v>In person</x:v>
      </x:c>
      <x:c r="M7" s="13" t="str">
        <x:v>Yes</x:v>
      </x:c>
      <x:c r="N7" s="13" t="str">
        <x:v>U.S. citizen or permanent resident</x:v>
      </x:c>
      <x:c r="O7" s="13" t="str">
        <x:v>Undergraduate; ≥2 semesters completed; ≥1 semester remaining after summer</x:v>
      </x:c>
      <x:c r="P7" s="40" t="n">
        <x:v>3</x:v>
      </x:c>
      <x:c r="Q7" s="40" t="n">
        <x:v>9.3</x:v>
      </x:c>
      <x:c r="R7" s="32" t="n">
        <x:v>46176</x:v>
      </x:c>
      <x:c r="S7" s="32" t="n">
        <x:v>46240</x:v>
      </x:c>
      <x:c r="T7" s="32" t="n">
        <x:v>45962</x:v>
      </x:c>
      <x:c r="U7" s="32" t="n">
        <x:v>46063</x:v>
      </x:c>
      <x:c r="V7" s="13" t="str">
        <x:v>2026 shared application: Nov 1–Feb 10</x:v>
      </x:c>
      <x:c r="W7" s="13" t="n">
        <x:v>2026</x:v>
      </x:c>
      <x:c r="X7" s="13" t="str">
        <x:v>2026 closed; 2027 cycle expected Nov–Feb</x:v>
      </x:c>
      <x:c r="Y7" s="36" t="n">
        <x:v>6000</x:v>
      </x:c>
      <x:c r="Z7" s="36"/>
      <x:c r="AA7" s="13" t="str">
        <x:v>Yes</x:v>
      </x:c>
      <x:c r="AB7" s="13" t="str">
        <x:v>Campus housing</x:v>
      </x:c>
      <x:c r="AC7" s="13" t="str">
        <x:v>Yes</x:v>
      </x:c>
      <x:c r="AD7" s="13" t="str">
        <x:v>Meal support included</x:v>
      </x:c>
      <x:c r="AE7" s="13" t="str">
        <x:v>Yes</x:v>
      </x:c>
      <x:c r="AF7" s="13" t="str">
        <x:v>Travel support included</x:v>
      </x:c>
      <x:c r="AG7" s="13" t="str">
        <x:v>No</x:v>
      </x:c>
      <x:c r="AH7" s="13" t="str">
        <x:v>https://btaa.org/resources-for/students/srop/campus-profiles</x:v>
      </x:c>
      <x:c r="AI7" s="13" t="str">
        <x:v>https://apps.btaa.org/srop/apply</x:v>
      </x:c>
      <x:c r="AJ7" s="32" t="n">
        <x:v>46265</x:v>
      </x:c>
      <x:c r="AK7" s="13" t="str">
        <x:v>High</x:v>
      </x:c>
      <x:c r="AL7" s="13" t="str">
        <x:v>Shared SROP application permits selection of multiple participating universities; intended for students interested in PhD study.</x:v>
      </x:c>
    </x:row>
    <x:row r="8" ht="42" customHeight="1">
      <x:c r="A8" s="13" t="str">
        <x:v>SROP-NU</x:v>
      </x:c>
      <x:c r="B8" s="13" t="str">
        <x:v>Big Ten SROP – Northwestern University</x:v>
      </x:c>
      <x:c r="C8" s="13" t="str">
        <x:v>Northwestern University</x:v>
      </x:c>
      <x:c r="D8" s="13" t="str">
        <x:v>Big Ten Academic Alliance SROP</x:v>
      </x:c>
      <x:c r="E8" s="13" t="str">
        <x:v>SROP / multidisciplinary summer research</x:v>
      </x:c>
      <x:c r="F8" s="13" t="str">
        <x:v>Multidisciplinary</x:v>
      </x:c>
      <x:c r="G8" s="13" t="str">
        <x:v>PhD-oriented research; STEM; social sciences; humanities; varies by host</x:v>
      </x:c>
      <x:c r="H8" s="13" t="str">
        <x:v>Evanston</x:v>
      </x:c>
      <x:c r="I8" s="13" t="str">
        <x:v>IL</x:v>
      </x:c>
      <x:c r="J8" s="13" t="str">
        <x:v>USA</x:v>
      </x:c>
      <x:c r="K8" s="13" t="str">
        <x:v>On-site host campus</x:v>
      </x:c>
      <x:c r="L8" s="13" t="str">
        <x:v>In person</x:v>
      </x:c>
      <x:c r="M8" s="13" t="str">
        <x:v>Yes</x:v>
      </x:c>
      <x:c r="N8" s="13" t="str">
        <x:v>U.S. citizen or permanent resident</x:v>
      </x:c>
      <x:c r="O8" s="13" t="str">
        <x:v>Undergraduate; ≥2 semesters completed; ≥1 semester remaining after summer</x:v>
      </x:c>
      <x:c r="P8" s="40" t="n">
        <x:v>3</x:v>
      </x:c>
      <x:c r="Q8" s="40" t="n">
        <x:v>8</x:v>
      </x:c>
      <x:c r="R8" s="32" t="n">
        <x:v>46188</x:v>
      </x:c>
      <x:c r="S8" s="32" t="n">
        <x:v>46241</x:v>
      </x:c>
      <x:c r="T8" s="32" t="n">
        <x:v>45962</x:v>
      </x:c>
      <x:c r="U8" s="32" t="n">
        <x:v>46063</x:v>
      </x:c>
      <x:c r="V8" s="13" t="str">
        <x:v>2026 shared application: Nov 1–Feb 10</x:v>
      </x:c>
      <x:c r="W8" s="13" t="n">
        <x:v>2026</x:v>
      </x:c>
      <x:c r="X8" s="13" t="str">
        <x:v>2026 closed; 2027 cycle expected Nov–Feb</x:v>
      </x:c>
      <x:c r="Y8" s="36" t="n">
        <x:v>6500</x:v>
      </x:c>
      <x:c r="Z8" s="36"/>
      <x:c r="AA8" s="13" t="str">
        <x:v>Yes</x:v>
      </x:c>
      <x:c r="AB8" s="13" t="str">
        <x:v>Campus housing</x:v>
      </x:c>
      <x:c r="AC8" s="13" t="str">
        <x:v>Partial</x:v>
      </x:c>
      <x:c r="AD8" s="13" t="str">
        <x:v>Partial meal support</x:v>
      </x:c>
      <x:c r="AE8" s="13" t="str">
        <x:v>Yes</x:v>
      </x:c>
      <x:c r="AF8" s="13" t="str">
        <x:v>Travel support included</x:v>
      </x:c>
      <x:c r="AG8" s="13" t="str">
        <x:v>Partial</x:v>
      </x:c>
      <x:c r="AH8" s="13" t="str">
        <x:v>https://btaa.org/resources-for/students/srop/campus-profiles</x:v>
      </x:c>
      <x:c r="AI8" s="13" t="str">
        <x:v>https://apps.btaa.org/srop/apply</x:v>
      </x:c>
      <x:c r="AJ8" s="32" t="n">
        <x:v>46265</x:v>
      </x:c>
      <x:c r="AK8" s="13" t="str">
        <x:v>High</x:v>
      </x:c>
      <x:c r="AL8" s="13" t="str">
        <x:v>Shared SROP application permits selection of multiple participating universities; intended for students interested in PhD study.</x:v>
      </x:c>
    </x:row>
    <x:row r="9" ht="42" customHeight="1">
      <x:c r="A9" s="13" t="str">
        <x:v>SROP-OSU</x:v>
      </x:c>
      <x:c r="B9" s="13" t="str">
        <x:v>Big Ten SROP – The Ohio State University</x:v>
      </x:c>
      <x:c r="C9" s="13" t="str">
        <x:v>The Ohio State University</x:v>
      </x:c>
      <x:c r="D9" s="13" t="str">
        <x:v>Big Ten Academic Alliance SROP</x:v>
      </x:c>
      <x:c r="E9" s="13" t="str">
        <x:v>SROP / multidisciplinary summer research</x:v>
      </x:c>
      <x:c r="F9" s="13" t="str">
        <x:v>Multidisciplinary</x:v>
      </x:c>
      <x:c r="G9" s="13" t="str">
        <x:v>PhD-oriented research; STEM; social sciences; humanities; varies by host</x:v>
      </x:c>
      <x:c r="H9" s="13" t="str">
        <x:v>Columbus</x:v>
      </x:c>
      <x:c r="I9" s="13" t="str">
        <x:v>OH</x:v>
      </x:c>
      <x:c r="J9" s="13" t="str">
        <x:v>USA</x:v>
      </x:c>
      <x:c r="K9" s="13" t="str">
        <x:v>On-site host campus</x:v>
      </x:c>
      <x:c r="L9" s="13" t="str">
        <x:v>In person</x:v>
      </x:c>
      <x:c r="M9" s="13" t="str">
        <x:v>Yes</x:v>
      </x:c>
      <x:c r="N9" s="13" t="str">
        <x:v>U.S. citizen or permanent resident</x:v>
      </x:c>
      <x:c r="O9" s="13" t="str">
        <x:v>Undergraduate; ≥2 semesters completed; ≥1 semester remaining after summer</x:v>
      </x:c>
      <x:c r="P9" s="40" t="n">
        <x:v>3</x:v>
      </x:c>
      <x:c r="Q9" s="40" t="n">
        <x:v>8.5</x:v>
      </x:c>
      <x:c r="R9" s="32" t="n">
        <x:v>46168</x:v>
      </x:c>
      <x:c r="S9" s="32" t="n">
        <x:v>46227</x:v>
      </x:c>
      <x:c r="T9" s="32" t="n">
        <x:v>45962</x:v>
      </x:c>
      <x:c r="U9" s="32" t="n">
        <x:v>46063</x:v>
      </x:c>
      <x:c r="V9" s="13" t="str">
        <x:v>2026 shared application: Nov 1–Feb 10</x:v>
      </x:c>
      <x:c r="W9" s="13" t="n">
        <x:v>2026</x:v>
      </x:c>
      <x:c r="X9" s="13" t="str">
        <x:v>2026 closed; 2027 cycle expected Nov–Feb</x:v>
      </x:c>
      <x:c r="Y9" s="36" t="n">
        <x:v>6000</x:v>
      </x:c>
      <x:c r="Z9" s="36"/>
      <x:c r="AA9" s="13" t="str">
        <x:v>Yes</x:v>
      </x:c>
      <x:c r="AB9" s="13" t="str">
        <x:v>Campus housing</x:v>
      </x:c>
      <x:c r="AC9" s="13" t="str">
        <x:v>Yes</x:v>
      </x:c>
      <x:c r="AD9" s="13" t="str">
        <x:v>Meal support included</x:v>
      </x:c>
      <x:c r="AE9" s="13" t="str">
        <x:v>Yes</x:v>
      </x:c>
      <x:c r="AF9" s="13" t="str">
        <x:v>Travel support included</x:v>
      </x:c>
      <x:c r="AG9" s="13" t="str">
        <x:v>No</x:v>
      </x:c>
      <x:c r="AH9" s="13" t="str">
        <x:v>https://btaa.org/resources-for/students/srop/campus-profiles</x:v>
      </x:c>
      <x:c r="AI9" s="13" t="str">
        <x:v>https://apps.btaa.org/srop/apply</x:v>
      </x:c>
      <x:c r="AJ9" s="32" t="n">
        <x:v>46265</x:v>
      </x:c>
      <x:c r="AK9" s="13" t="str">
        <x:v>High</x:v>
      </x:c>
      <x:c r="AL9" s="13" t="str">
        <x:v>Shared SROP application permits selection of multiple participating universities; intended for students interested in PhD study.</x:v>
      </x:c>
    </x:row>
    <x:row r="10" ht="42" customHeight="1">
      <x:c r="A10" s="13" t="str">
        <x:v>SROP-PSU</x:v>
      </x:c>
      <x:c r="B10" s="13" t="str">
        <x:v>Big Ten SROP – Penn State</x:v>
      </x:c>
      <x:c r="C10" s="13" t="str">
        <x:v>Penn State</x:v>
      </x:c>
      <x:c r="D10" s="13" t="str">
        <x:v>Big Ten Academic Alliance SROP</x:v>
      </x:c>
      <x:c r="E10" s="13" t="str">
        <x:v>SROP / multidisciplinary summer research</x:v>
      </x:c>
      <x:c r="F10" s="13" t="str">
        <x:v>Multidisciplinary</x:v>
      </x:c>
      <x:c r="G10" s="13" t="str">
        <x:v>PhD-oriented research; STEM; social sciences; humanities; varies by host</x:v>
      </x:c>
      <x:c r="H10" s="13" t="str">
        <x:v>University Park</x:v>
      </x:c>
      <x:c r="I10" s="13" t="str">
        <x:v>PA</x:v>
      </x:c>
      <x:c r="J10" s="13" t="str">
        <x:v>USA</x:v>
      </x:c>
      <x:c r="K10" s="13" t="str">
        <x:v>On-site host campus</x:v>
      </x:c>
      <x:c r="L10" s="13" t="str">
        <x:v>In person</x:v>
      </x:c>
      <x:c r="M10" s="13" t="str">
        <x:v>Yes</x:v>
      </x:c>
      <x:c r="N10" s="13" t="str">
        <x:v>U.S. citizen or permanent resident</x:v>
      </x:c>
      <x:c r="O10" s="13" t="str">
        <x:v>Undergraduate; ≥2 semesters completed; ≥1 semester remaining after summer</x:v>
      </x:c>
      <x:c r="P10" s="40" t="n">
        <x:v>3</x:v>
      </x:c>
      <x:c r="Q10" s="40" t="n">
        <x:v>8</x:v>
      </x:c>
      <x:c r="R10" s="32" t="n">
        <x:v>46170</x:v>
      </x:c>
      <x:c r="S10" s="32" t="n">
        <x:v>46227</x:v>
      </x:c>
      <x:c r="T10" s="32" t="n">
        <x:v>45962</x:v>
      </x:c>
      <x:c r="U10" s="32" t="n">
        <x:v>46063</x:v>
      </x:c>
      <x:c r="V10" s="13" t="str">
        <x:v>2026 shared application: Nov 1–Feb 10</x:v>
      </x:c>
      <x:c r="W10" s="13" t="n">
        <x:v>2026</x:v>
      </x:c>
      <x:c r="X10" s="13" t="str">
        <x:v>2026 closed; 2027 cycle expected Nov–Feb</x:v>
      </x:c>
      <x:c r="Y10" s="36" t="n">
        <x:v>4000</x:v>
      </x:c>
      <x:c r="Z10" s="36"/>
      <x:c r="AA10" s="13" t="str">
        <x:v>Yes</x:v>
      </x:c>
      <x:c r="AB10" s="13" t="str">
        <x:v>Campus housing</x:v>
      </x:c>
      <x:c r="AC10" s="13" t="str">
        <x:v>Yes</x:v>
      </x:c>
      <x:c r="AD10" s="13" t="str">
        <x:v>Meal support included</x:v>
      </x:c>
      <x:c r="AE10" s="13" t="str">
        <x:v>Yes</x:v>
      </x:c>
      <x:c r="AF10" s="13" t="str">
        <x:v>Travel support included</x:v>
      </x:c>
      <x:c r="AG10" s="13" t="str">
        <x:v>No</x:v>
      </x:c>
      <x:c r="AH10" s="13" t="str">
        <x:v>https://btaa.org/resources-for/students/srop/campus-profiles</x:v>
      </x:c>
      <x:c r="AI10" s="13" t="str">
        <x:v>https://apps.btaa.org/srop/apply</x:v>
      </x:c>
      <x:c r="AJ10" s="32" t="n">
        <x:v>46265</x:v>
      </x:c>
      <x:c r="AK10" s="13" t="str">
        <x:v>High</x:v>
      </x:c>
      <x:c r="AL10" s="13" t="str">
        <x:v>Shared SROP application permits selection of multiple participating universities; intended for students interested in PhD study.</x:v>
      </x:c>
    </x:row>
    <x:row r="11" ht="42" customHeight="1">
      <x:c r="A11" s="13" t="str">
        <x:v>SROP-PU</x:v>
      </x:c>
      <x:c r="B11" s="13" t="str">
        <x:v>Big Ten SROP – Purdue University</x:v>
      </x:c>
      <x:c r="C11" s="13" t="str">
        <x:v>Purdue University</x:v>
      </x:c>
      <x:c r="D11" s="13" t="str">
        <x:v>Big Ten Academic Alliance SROP</x:v>
      </x:c>
      <x:c r="E11" s="13" t="str">
        <x:v>SROP / multidisciplinary summer research</x:v>
      </x:c>
      <x:c r="F11" s="13" t="str">
        <x:v>Multidisciplinary</x:v>
      </x:c>
      <x:c r="G11" s="13" t="str">
        <x:v>PhD-oriented research; STEM; social sciences; humanities; varies by host</x:v>
      </x:c>
      <x:c r="H11" s="13" t="str">
        <x:v>West Lafayette</x:v>
      </x:c>
      <x:c r="I11" s="13" t="str">
        <x:v>IN</x:v>
      </x:c>
      <x:c r="J11" s="13" t="str">
        <x:v>USA</x:v>
      </x:c>
      <x:c r="K11" s="13" t="str">
        <x:v>On-site host campus</x:v>
      </x:c>
      <x:c r="L11" s="13" t="str">
        <x:v>In person</x:v>
      </x:c>
      <x:c r="M11" s="13" t="str">
        <x:v>Yes</x:v>
      </x:c>
      <x:c r="N11" s="13" t="str">
        <x:v>U.S. citizen or permanent resident</x:v>
      </x:c>
      <x:c r="O11" s="13" t="str">
        <x:v>Undergraduate; ≥2 semesters completed; ≥1 semester remaining after summer</x:v>
      </x:c>
      <x:c r="P11" s="40" t="n">
        <x:v>3</x:v>
      </x:c>
      <x:c r="Q11" s="40" t="n">
        <x:v>8</x:v>
      </x:c>
      <x:c r="R11" s="32" t="n">
        <x:v>46180</x:v>
      </x:c>
      <x:c r="S11" s="32" t="n">
        <x:v>46234</x:v>
      </x:c>
      <x:c r="T11" s="32" t="n">
        <x:v>45962</x:v>
      </x:c>
      <x:c r="U11" s="32" t="n">
        <x:v>46063</x:v>
      </x:c>
      <x:c r="V11" s="13" t="str">
        <x:v>2026 shared application: Nov 1–Feb 10</x:v>
      </x:c>
      <x:c r="W11" s="13" t="n">
        <x:v>2026</x:v>
      </x:c>
      <x:c r="X11" s="13" t="str">
        <x:v>2026 closed; 2027 cycle expected Nov–Feb</x:v>
      </x:c>
      <x:c r="Y11" s="36" t="n">
        <x:v>4500</x:v>
      </x:c>
      <x:c r="Z11" s="36"/>
      <x:c r="AA11" s="13" t="str">
        <x:v>Yes</x:v>
      </x:c>
      <x:c r="AB11" s="13" t="str">
        <x:v>Campus housing</x:v>
      </x:c>
      <x:c r="AC11" s="13" t="str">
        <x:v>Yes</x:v>
      </x:c>
      <x:c r="AD11" s="13" t="str">
        <x:v>Meal support included</x:v>
      </x:c>
      <x:c r="AE11" s="13" t="str">
        <x:v>Yes</x:v>
      </x:c>
      <x:c r="AF11" s="13" t="str">
        <x:v>Travel support included</x:v>
      </x:c>
      <x:c r="AG11" s="13" t="str">
        <x:v>No</x:v>
      </x:c>
      <x:c r="AH11" s="13" t="str">
        <x:v>https://btaa.org/resources-for/students/srop/campus-profiles</x:v>
      </x:c>
      <x:c r="AI11" s="13" t="str">
        <x:v>https://apps.btaa.org/srop/apply</x:v>
      </x:c>
      <x:c r="AJ11" s="32" t="n">
        <x:v>46265</x:v>
      </x:c>
      <x:c r="AK11" s="13" t="str">
        <x:v>High</x:v>
      </x:c>
      <x:c r="AL11" s="13" t="str">
        <x:v>Shared SROP application permits selection of multiple participating universities; intended for students interested in PhD study.</x:v>
      </x:c>
    </x:row>
    <x:row r="12" ht="42" customHeight="1">
      <x:c r="A12" s="13" t="str">
        <x:v>SROP-RU</x:v>
      </x:c>
      <x:c r="B12" s="13" t="str">
        <x:v>Big Ten SROP – Rutgers University–New Brunswick</x:v>
      </x:c>
      <x:c r="C12" s="13" t="str">
        <x:v>Rutgers University–New Brunswick</x:v>
      </x:c>
      <x:c r="D12" s="13" t="str">
        <x:v>Big Ten Academic Alliance SROP</x:v>
      </x:c>
      <x:c r="E12" s="13" t="str">
        <x:v>SROP / multidisciplinary summer research</x:v>
      </x:c>
      <x:c r="F12" s="13" t="str">
        <x:v>Multidisciplinary</x:v>
      </x:c>
      <x:c r="G12" s="13" t="str">
        <x:v>PhD-oriented research; STEM; social sciences; humanities; varies by host</x:v>
      </x:c>
      <x:c r="H12" s="13" t="str">
        <x:v>New Brunswick</x:v>
      </x:c>
      <x:c r="I12" s="13" t="str">
        <x:v>NJ</x:v>
      </x:c>
      <x:c r="J12" s="13" t="str">
        <x:v>USA</x:v>
      </x:c>
      <x:c r="K12" s="13" t="str">
        <x:v>On-site host campus</x:v>
      </x:c>
      <x:c r="L12" s="13" t="str">
        <x:v>In person</x:v>
      </x:c>
      <x:c r="M12" s="13" t="str">
        <x:v>Yes</x:v>
      </x:c>
      <x:c r="N12" s="13" t="str">
        <x:v>U.S. citizen or permanent resident</x:v>
      </x:c>
      <x:c r="O12" s="13" t="str">
        <x:v>Undergraduate; ≥2 semesters completed; ≥1 semester remaining after summer</x:v>
      </x:c>
      <x:c r="P12" s="40" t="n">
        <x:v>3</x:v>
      </x:c>
      <x:c r="Q12" s="40" t="n">
        <x:v>9.5</x:v>
      </x:c>
      <x:c r="R12" s="32" t="n">
        <x:v>46168</x:v>
      </x:c>
      <x:c r="S12" s="32" t="n">
        <x:v>46234</x:v>
      </x:c>
      <x:c r="T12" s="32" t="n">
        <x:v>45962</x:v>
      </x:c>
      <x:c r="U12" s="32" t="n">
        <x:v>46063</x:v>
      </x:c>
      <x:c r="V12" s="13" t="str">
        <x:v>2026 shared application: Nov 1–Feb 10</x:v>
      </x:c>
      <x:c r="W12" s="13" t="n">
        <x:v>2026</x:v>
      </x:c>
      <x:c r="X12" s="13" t="str">
        <x:v>2026 closed; 2027 cycle expected Nov–Feb</x:v>
      </x:c>
      <x:c r="Y12" s="36" t="n">
        <x:v>6000</x:v>
      </x:c>
      <x:c r="Z12" s="36"/>
      <x:c r="AA12" s="13" t="str">
        <x:v>Yes</x:v>
      </x:c>
      <x:c r="AB12" s="13" t="str">
        <x:v>Campus housing</x:v>
      </x:c>
      <x:c r="AC12" s="13" t="str">
        <x:v>No</x:v>
      </x:c>
      <x:c r="AD12" s="13" t="str">
        <x:v>Meals not included</x:v>
      </x:c>
      <x:c r="AE12" s="13" t="str">
        <x:v>Yes</x:v>
      </x:c>
      <x:c r="AF12" s="13" t="str">
        <x:v>Travel support included</x:v>
      </x:c>
      <x:c r="AG12" s="13" t="str">
        <x:v>No</x:v>
      </x:c>
      <x:c r="AH12" s="13" t="str">
        <x:v>https://btaa.org/resources-for/students/srop/campus-profiles</x:v>
      </x:c>
      <x:c r="AI12" s="13" t="str">
        <x:v>https://apps.btaa.org/srop/apply</x:v>
      </x:c>
      <x:c r="AJ12" s="32" t="n">
        <x:v>46265</x:v>
      </x:c>
      <x:c r="AK12" s="13" t="str">
        <x:v>High</x:v>
      </x:c>
      <x:c r="AL12" s="13" t="str">
        <x:v>Shared SROP application permits selection of multiple participating universities; intended for students interested in PhD study.</x:v>
      </x:c>
    </x:row>
    <x:row r="13" ht="42" customHeight="1">
      <x:c r="A13" s="13" t="str">
        <x:v>SROP-UW</x:v>
      </x:c>
      <x:c r="B13" s="13" t="str">
        <x:v>Big Ten SROP – University of Wisconsin–Madison</x:v>
      </x:c>
      <x:c r="C13" s="13" t="str">
        <x:v>University of Wisconsin–Madison</x:v>
      </x:c>
      <x:c r="D13" s="13" t="str">
        <x:v>Big Ten Academic Alliance SROP</x:v>
      </x:c>
      <x:c r="E13" s="13" t="str">
        <x:v>SROP / multidisciplinary summer research</x:v>
      </x:c>
      <x:c r="F13" s="13" t="str">
        <x:v>Multidisciplinary</x:v>
      </x:c>
      <x:c r="G13" s="13" t="str">
        <x:v>PhD-oriented research; STEM; social sciences; humanities; varies by host</x:v>
      </x:c>
      <x:c r="H13" s="13" t="str">
        <x:v>Madison</x:v>
      </x:c>
      <x:c r="I13" s="13" t="str">
        <x:v>WI</x:v>
      </x:c>
      <x:c r="J13" s="13" t="str">
        <x:v>USA</x:v>
      </x:c>
      <x:c r="K13" s="13" t="str">
        <x:v>On-site host campus</x:v>
      </x:c>
      <x:c r="L13" s="13" t="str">
        <x:v>In person</x:v>
      </x:c>
      <x:c r="M13" s="13" t="str">
        <x:v>Yes</x:v>
      </x:c>
      <x:c r="N13" s="13" t="str">
        <x:v>U.S. citizen or permanent resident</x:v>
      </x:c>
      <x:c r="O13" s="13" t="str">
        <x:v>Undergraduate; ≥2 semesters completed; ≥1 semester remaining after summer</x:v>
      </x:c>
      <x:c r="P13" s="40" t="n">
        <x:v>3</x:v>
      </x:c>
      <x:c r="Q13" s="40"/>
      <x:c r="R13" s="32"/>
      <x:c r="S13" s="32"/>
      <x:c r="T13" s="32" t="n">
        <x:v>45962</x:v>
      </x:c>
      <x:c r="U13" s="32" t="n">
        <x:v>46063</x:v>
      </x:c>
      <x:c r="V13" s="13" t="str">
        <x:v>2026 shared application: Nov 1–Feb 10</x:v>
      </x:c>
      <x:c r="W13" s="13" t="n">
        <x:v>2026</x:v>
      </x:c>
      <x:c r="X13" s="13" t="str">
        <x:v>2026 closed; 2027 cycle expected Nov–Feb</x:v>
      </x:c>
      <x:c r="Y13" s="36"/>
      <x:c r="Z13" s="36"/>
      <x:c r="AA13" s="13" t="str">
        <x:v>Varies</x:v>
      </x:c>
      <x:c r="AB13" s="13" t="str">
        <x:v>Varies by program</x:v>
      </x:c>
      <x:c r="AC13" s="13" t="str">
        <x:v>Varies</x:v>
      </x:c>
      <x:c r="AD13" s="13" t="str">
        <x:v>Varies by program</x:v>
      </x:c>
      <x:c r="AE13" s="13" t="str">
        <x:v>Varies</x:v>
      </x:c>
      <x:c r="AF13" s="13" t="str">
        <x:v>Varies by program</x:v>
      </x:c>
      <x:c r="AG13" s="13" t="str">
        <x:v>Varies</x:v>
      </x:c>
      <x:c r="AH13" s="13" t="str">
        <x:v>https://btaa.org/resources-for/students/srop/campus-profiles</x:v>
      </x:c>
      <x:c r="AI13" s="13" t="str">
        <x:v>https://apps.btaa.org/srop/apply</x:v>
      </x:c>
      <x:c r="AJ13" s="32" t="n">
        <x:v>46265</x:v>
      </x:c>
      <x:c r="AK13" s="13" t="str">
        <x:v>High</x:v>
      </x:c>
      <x:c r="AL13" s="13" t="str">
        <x:v>Shared SROP application permits selection of multiple participating universities; intended for students interested in PhD study.</x:v>
      </x:c>
    </x:row>
    <x:row r="14" ht="42" customHeight="1">
      <x:c r="A14" s="13" t="str">
        <x:v>DOE-SULI</x:v>
      </x:c>
      <x:c r="B14" s="13" t="str">
        <x:v>Science Undergraduate Laboratory Internships (SULI)</x:v>
      </x:c>
      <x:c r="C14" s="13" t="str">
        <x:v>U.S. Department of Energy national laboratories</x:v>
      </x:c>
      <x:c r="D14" s="13" t="str">
        <x:v>DOE Office of Science</x:v>
      </x:c>
      <x:c r="E14" s="13" t="str">
        <x:v>Federal laboratory internship</x:v>
      </x:c>
      <x:c r="F14" s="13" t="str">
        <x:v>Interdisciplinary STEM</x:v>
      </x:c>
      <x:c r="G14" s="13" t="str">
        <x:v>Physics; chemistry; materials; computing; engineering; energy; biology; environmental science</x:v>
      </x:c>
      <x:c r="H14" s="13" t="str">
        <x:v>Multiple</x:v>
      </x:c>
      <x:c r="I14" s="13" t="str">
        <x:v>Multiple</x:v>
      </x:c>
      <x:c r="J14" s="13" t="str">
        <x:v>USA</x:v>
      </x:c>
      <x:c r="K14" s="13" t="str">
        <x:v>17 DOE labs/facilities</x:v>
      </x:c>
      <x:c r="L14" s="13" t="str">
        <x:v>In person</x:v>
      </x:c>
      <x:c r="M14" s="13" t="str">
        <x:v>Yes</x:v>
      </x:c>
      <x:c r="N14" s="13" t="str">
        <x:v>U.S. citizen or lawful permanent resident</x:v>
      </x:c>
      <x:c r="O14" s="13" t="str">
        <x:v>Undergraduates and qualifying recent graduates; see DOE eligibility rules</x:v>
      </x:c>
      <x:c r="P14" s="40" t="n">
        <x:v>3</x:v>
      </x:c>
      <x:c r="Q14" s="40" t="n">
        <x:v>10</x:v>
      </x:c>
      <x:c r="R14" s="32"/>
      <x:c r="S14" s="32"/>
      <x:c r="T14" s="32" t="n">
        <x:v>45953</x:v>
      </x:c>
      <x:c r="U14" s="32" t="n">
        <x:v>46029</x:v>
      </x:c>
      <x:c r="V14" s="13" t="str">
        <x:v>Summer 2026 deadline: Jan 7, 2026</x:v>
      </x:c>
      <x:c r="W14" s="13" t="n">
        <x:v>2026</x:v>
      </x:c>
      <x:c r="X14" s="13" t="str">
        <x:v>Summer 2026 closed; monitor DOE for Summer 2027 cycle</x:v>
      </x:c>
      <x:c r="Y14" s="36" t="n">
        <x:v>6500</x:v>
      </x:c>
      <x:c r="Z14" s="36" t="n">
        <x:v>650</x:v>
      </x:c>
      <x:c r="AA14" s="13" t="str">
        <x:v>Varies</x:v>
      </x:c>
      <x:c r="AB14" s="13" t="str">
        <x:v>Some labs offer direct housing; otherwise housing allowance may be available</x:v>
      </x:c>
      <x:c r="AC14" s="13" t="str">
        <x:v>Not specified</x:v>
      </x:c>
      <x:c r="AD14" s="13" t="str">
        <x:v>Not centrally specified</x:v>
      </x:c>
      <x:c r="AE14" s="13" t="str">
        <x:v>Yes</x:v>
      </x:c>
      <x:c r="AF14" s="13" t="str">
        <x:v>Reimbursement available for qualifying travel; limits depend on mode</x:v>
      </x:c>
      <x:c r="AG14" s="13" t="str">
        <x:v>No</x:v>
      </x:c>
      <x:c r="AH14" s="13" t="str">
        <x:v>https://science.osti.gov/wdts/suli</x:v>
      </x:c>
      <x:c r="AI14" s="13" t="str">
        <x:v>https://science.osti.gov/wdts/suli/how-to-apply</x:v>
      </x:c>
      <x:c r="AJ14" s="32" t="n">
        <x:v>46265</x:v>
      </x:c>
      <x:c r="AK14" s="13" t="str">
        <x:v>High</x:v>
      </x:c>
      <x:c r="AL14" s="13" t="str">
        <x:v>Summer appointment is 10 weeks.</x:v>
      </x:c>
    </x:row>
    <x:row r="15" ht="42" customHeight="1">
      <x:c r="A15" s="13" t="str">
        <x:v>NIH-SIP</x:v>
      </x:c>
      <x:c r="B15" s="13" t="str">
        <x:v>NIH Summer Internship Program (SIP)</x:v>
      </x:c>
      <x:c r="C15" s="13" t="str">
        <x:v>National Institutes of Health</x:v>
      </x:c>
      <x:c r="D15" s="13" t="str">
        <x:v>NIH Office of Intramural Training &amp; Education</x:v>
      </x:c>
      <x:c r="E15" s="13" t="str">
        <x:v>Federal biomedical research internship</x:v>
      </x:c>
      <x:c r="F15" s="13" t="str">
        <x:v>Biomedical &amp; Health</x:v>
      </x:c>
      <x:c r="G15" s="13" t="str">
        <x:v>Biomedical sciences; neuroscience; genetics; cancer; immunology; computational biology; public health</x:v>
      </x:c>
      <x:c r="H15" s="13" t="str">
        <x:v>Multiple</x:v>
      </x:c>
      <x:c r="I15" s="13" t="str">
        <x:v>Multiple</x:v>
      </x:c>
      <x:c r="J15" s="13" t="str">
        <x:v>USA</x:v>
      </x:c>
      <x:c r="K15" s="13" t="str">
        <x:v>NIH campuses and institutes</x:v>
      </x:c>
      <x:c r="L15" s="13" t="str">
        <x:v>In person</x:v>
      </x:c>
      <x:c r="M15" s="13" t="str">
        <x:v>Yes</x:v>
      </x:c>
      <x:c r="N15" s="13" t="str">
        <x:v>U.S. citizen or permanent resident</x:v>
      </x:c>
      <x:c r="O15" s="13" t="str">
        <x:v>College, graduate, and professional students; undergraduates eligible</x:v>
      </x:c>
      <x:c r="P15" s="40"/>
      <x:c r="Q15" s="40"/>
      <x:c r="R15" s="32"/>
      <x:c r="S15" s="32"/>
      <x:c r="T15" s="32"/>
      <x:c r="U15" s="32"/>
      <x:c r="V15" s="13" t="str">
        <x:v>2027 application: opens mid-Nov 2026; closes mid-Feb 2027</x:v>
      </x:c>
      <x:c r="W15" s="13" t="n">
        <x:v>2027</x:v>
      </x:c>
      <x:c r="X15" s="13" t="str">
        <x:v>2027 upcoming; application window announced</x:v>
      </x:c>
      <x:c r="Y15" s="36"/>
      <x:c r="Z15" s="36"/>
      <x:c r="AA15" s="13" t="str">
        <x:v>No</x:v>
      </x:c>
      <x:c r="AB15" s="13" t="str">
        <x:v>NIH does not provide dormitory housing</x:v>
      </x:c>
      <x:c r="AC15" s="13" t="str">
        <x:v>No</x:v>
      </x:c>
      <x:c r="AD15" s="13" t="str">
        <x:v>Not included centrally</x:v>
      </x:c>
      <x:c r="AE15" s="13" t="str">
        <x:v>Varies</x:v>
      </x:c>
      <x:c r="AF15" s="13" t="str">
        <x:v>Varies by placement/appointment; verify specific institute</x:v>
      </x:c>
      <x:c r="AG15" s="13" t="str">
        <x:v>No</x:v>
      </x:c>
      <x:c r="AH15" s="13" t="str">
        <x:v>https://www.training.nih.gov/research-training/pb/sip/</x:v>
      </x:c>
      <x:c r="AI15" s="13" t="str">
        <x:v>https://www.training.nih.gov/research-training/pb/sip/</x:v>
      </x:c>
      <x:c r="AJ15" s="32" t="n">
        <x:v>46265</x:v>
      </x:c>
      <x:c r="AK15" s="13" t="str">
        <x:v>High</x:v>
      </x:c>
      <x:c r="AL15" s="13" t="str">
        <x:v>Stipends are based on educational level; specific amounts should be verified for the application cycle.</x:v>
      </x:c>
    </x:row>
    <x:row r="16" ht="42" customHeight="1">
      <x:c r="A16" s="13" t="str">
        <x:v>NASA-OSTEM</x:v>
      </x:c>
      <x:c r="B16" s="13" t="str">
        <x:v>NASA OSTEM Internship Program</x:v>
      </x:c>
      <x:c r="C16" s="13" t="str">
        <x:v>NASA</x:v>
      </x:c>
      <x:c r="D16" s="13" t="str">
        <x:v>NASA OSTEM</x:v>
      </x:c>
      <x:c r="E16" s="13" t="str">
        <x:v>Federal STEM internship</x:v>
      </x:c>
      <x:c r="F16" s="13" t="str">
        <x:v>Interdisciplinary STEM</x:v>
      </x:c>
      <x:c r="G16" s="13" t="str">
        <x:v>Aerospace; engineering; computer science; data science; planetary science; physics; communications; business; other majors</x:v>
      </x:c>
      <x:c r="H16" s="13" t="str">
        <x:v>Multiple</x:v>
      </x:c>
      <x:c r="I16" s="13" t="str">
        <x:v>Multiple</x:v>
      </x:c>
      <x:c r="J16" s="13" t="str">
        <x:v>USA</x:v>
      </x:c>
      <x:c r="K16" s="13" t="str">
        <x:v>NASA centers and facilities</x:v>
      </x:c>
      <x:c r="L16" s="13" t="str">
        <x:v>In person / varies by project</x:v>
      </x:c>
      <x:c r="M16" s="13" t="str">
        <x:v>Yes</x:v>
      </x:c>
      <x:c r="N16" s="13" t="str">
        <x:v>U.S. citizen</x:v>
      </x:c>
      <x:c r="O16" s="13" t="str">
        <x:v>College students; project-specific requirements</x:v>
      </x:c>
      <x:c r="P16" s="40" t="n">
        <x:v>3</x:v>
      </x:c>
      <x:c r="Q16" s="40" t="n">
        <x:v>10</x:v>
      </x:c>
      <x:c r="R16" s="32"/>
      <x:c r="S16" s="32"/>
      <x:c r="T16" s="32"/>
      <x:c r="U16" s="32" t="n">
        <x:v>46444</x:v>
      </x:c>
      <x:c r="V16" s="13" t="str">
        <x:v>Summer 2027 deadline: Feb 26, 2027</x:v>
      </x:c>
      <x:c r="W16" s="13" t="n">
        <x:v>2027</x:v>
      </x:c>
      <x:c r="X16" s="13" t="str">
        <x:v>2027 upcoming; deadline posted</x:v>
      </x:c>
      <x:c r="Y16" s="36"/>
      <x:c r="Z16" s="36"/>
      <x:c r="AA16" s="13" t="str">
        <x:v>No</x:v>
      </x:c>
      <x:c r="AB16" s="13" t="str">
        <x:v>Housing generally arranged by intern; project/center guidance varies</x:v>
      </x:c>
      <x:c r="AC16" s="13" t="str">
        <x:v>No</x:v>
      </x:c>
      <x:c r="AD16" s="13" t="str">
        <x:v>Not centrally included</x:v>
      </x:c>
      <x:c r="AE16" s="13" t="str">
        <x:v>Varies</x:v>
      </x:c>
      <x:c r="AF16" s="13" t="str">
        <x:v>Project/center dependent</x:v>
      </x:c>
      <x:c r="AG16" s="13" t="str">
        <x:v>Varies</x:v>
      </x:c>
      <x:c r="AH16" s="13" t="str">
        <x:v>https://www.nasa.gov/learning-resources/internship-programs/</x:v>
      </x:c>
      <x:c r="AI16" s="13" t="str">
        <x:v>https://www.stemgateway.nasa.gov/</x:v>
      </x:c>
      <x:c r="AJ16" s="32" t="n">
        <x:v>46265</x:v>
      </x:c>
      <x:c r="AK16" s="13" t="str">
        <x:v>High</x:v>
      </x:c>
      <x:c r="AL16" s="13" t="str">
        <x:v>Paid project-based internships; summer session is generally 10 weeks. Stipend varies by opportunity.</x:v>
      </x:c>
    </x:row>
    <x:row r="17" ht="42" customHeight="1">
      <x:c r="A17" s="13" t="str">
        <x:v>NIST-SURF</x:v>
      </x:c>
      <x:c r="B17" s="13" t="str">
        <x:v>NIST Summer Undergraduate Research Fellowship (SURF)</x:v>
      </x:c>
      <x:c r="C17" s="13" t="str">
        <x:v>National Institute of Standards and Technology</x:v>
      </x:c>
      <x:c r="D17" s="13" t="str">
        <x:v>NIST</x:v>
      </x:c>
      <x:c r="E17" s="13" t="str">
        <x:v>Federal laboratory research fellowship</x:v>
      </x:c>
      <x:c r="F17" s="13" t="str">
        <x:v>Interdisciplinary STEM</x:v>
      </x:c>
      <x:c r="G17" s="13" t="str">
        <x:v>Physics; chemistry; materials; engineering; computer science; cybersecurity; measurement science</x:v>
      </x:c>
      <x:c r="H17" s="13" t="str">
        <x:v>Gaithersburg / Boulder</x:v>
      </x:c>
      <x:c r="I17" s="13" t="str">
        <x:v>MD / CO</x:v>
      </x:c>
      <x:c r="J17" s="13" t="str">
        <x:v>USA</x:v>
      </x:c>
      <x:c r="K17" s="13" t="str">
        <x:v>NIST campuses</x:v>
      </x:c>
      <x:c r="L17" s="13" t="str">
        <x:v>In person</x:v>
      </x:c>
      <x:c r="M17" s="13" t="str">
        <x:v>Yes</x:v>
      </x:c>
      <x:c r="N17" s="13" t="str">
        <x:v>See NIST cycle eligibility</x:v>
      </x:c>
      <x:c r="O17" s="13" t="str">
        <x:v>Undergraduate; cycle-specific</x:v>
      </x:c>
      <x:c r="P17" s="40"/>
      <x:c r="Q17" s="40" t="n">
        <x:v>11</x:v>
      </x:c>
      <x:c r="R17" s="32" t="n">
        <x:v>46169</x:v>
      </x:c>
      <x:c r="S17" s="32" t="n">
        <x:v>46241</x:v>
      </x:c>
      <x:c r="T17" s="32"/>
      <x:c r="U17" s="32"/>
      <x:c r="V17" s="13" t="str">
        <x:v>2027 details expected in fall 2026</x:v>
      </x:c>
      <x:c r="W17" s="13" t="n">
        <x:v>2026</x:v>
      </x:c>
      <x:c r="X17" s="13" t="str">
        <x:v>2026 closed; 2027 details expected fall 2026</x:v>
      </x:c>
      <x:c r="Y17" s="36" t="n">
        <x:v>7810</x:v>
      </x:c>
      <x:c r="Z17" s="36" t="n">
        <x:v>710</x:v>
      </x:c>
      <x:c r="AA17" s="13" t="str">
        <x:v>Allowance</x:v>
      </x:c>
      <x:c r="AB17" s="13" t="str">
        <x:v>Students arrange housing; limited housing assistance up to $4,500 may be available</x:v>
      </x:c>
      <x:c r="AC17" s="13" t="str">
        <x:v>No</x:v>
      </x:c>
      <x:c r="AD17" s="13" t="str">
        <x:v>Not included</x:v>
      </x:c>
      <x:c r="AE17" s="13" t="str">
        <x:v>Yes</x:v>
      </x:c>
      <x:c r="AF17" s="13" t="str">
        <x:v>Travel allowance up to $500 may be available</x:v>
      </x:c>
      <x:c r="AG17" s="13" t="str">
        <x:v>No</x:v>
      </x:c>
      <x:c r="AH17" s="13" t="str">
        <x:v>https://www.nist.gov/surf</x:v>
      </x:c>
      <x:c r="AI17" s="13" t="str">
        <x:v>https://www.nist.gov/surf</x:v>
      </x:c>
      <x:c r="AJ17" s="32" t="n">
        <x:v>46265</x:v>
      </x:c>
      <x:c r="AK17" s="13" t="str">
        <x:v>High</x:v>
      </x:c>
      <x:c r="AL17" s="13" t="str">
        <x:v>2026 also offered 9-week and offset 11-week schedules; stipend shown is expected 11-week amount.</x:v>
      </x:c>
    </x:row>
    <x:row r="18" ht="42" customHeight="1">
      <x:c r="A18" s="13" t="str">
        <x:v>NREIP</x:v>
      </x:c>
      <x:c r="B18" s="13" t="str">
        <x:v>Naval Research Enterprise Internship Program (NREIP)</x:v>
      </x:c>
      <x:c r="C18" s="13" t="str">
        <x:v>U.S. Navy laboratories</x:v>
      </x:c>
      <x:c r="D18" s="13" t="str">
        <x:v>Office of Naval Research</x:v>
      </x:c>
      <x:c r="E18" s="13" t="str">
        <x:v>Federal laboratory research internship</x:v>
      </x:c>
      <x:c r="F18" s="13" t="str">
        <x:v>Engineering</x:v>
      </x:c>
      <x:c r="G18" s="13" t="str">
        <x:v>Engineering; computer science; physics; chemistry; mathematics; materials; ocean science; related STEM</x:v>
      </x:c>
      <x:c r="H18" s="13" t="str">
        <x:v>Multiple</x:v>
      </x:c>
      <x:c r="I18" s="13" t="str">
        <x:v>Multiple</x:v>
      </x:c>
      <x:c r="J18" s="13" t="str">
        <x:v>USA</x:v>
      </x:c>
      <x:c r="K18" s="13" t="str">
        <x:v>Navy laboratories nationwide</x:v>
      </x:c>
      <x:c r="L18" s="13" t="str">
        <x:v>In person</x:v>
      </x:c>
      <x:c r="M18" s="13" t="str">
        <x:v>Yes</x:v>
      </x:c>
      <x:c r="N18" s="13" t="str">
        <x:v>U.S. citizen; permanent residents considered at some labs</x:v>
      </x:c>
      <x:c r="O18" s="13" t="str">
        <x:v>Sophomore, junior, senior, and graduate students in relevant majors</x:v>
      </x:c>
      <x:c r="P18" s="40"/>
      <x:c r="Q18" s="40" t="n">
        <x:v>10</x:v>
      </x:c>
      <x:c r="R18" s="32"/>
      <x:c r="S18" s="32"/>
      <x:c r="T18" s="32"/>
      <x:c r="U18" s="32"/>
      <x:c r="V18" s="13" t="str">
        <x:v>2027 portal expected to open Sept 2026</x:v>
      </x:c>
      <x:c r="W18" s="13" t="n">
        <x:v>2027</x:v>
      </x:c>
      <x:c r="X18" s="13" t="str">
        <x:v>2027 upcoming; portal expected Sept 2026</x:v>
      </x:c>
      <x:c r="Y18" s="36" t="n">
        <x:v>7500</x:v>
      </x:c>
      <x:c r="Z18" s="36" t="n">
        <x:v>750</x:v>
      </x:c>
      <x:c r="AA18" s="13" t="str">
        <x:v>No</x:v>
      </x:c>
      <x:c r="AB18" s="13" t="str">
        <x:v>Not centrally included</x:v>
      </x:c>
      <x:c r="AC18" s="13" t="str">
        <x:v>No</x:v>
      </x:c>
      <x:c r="AD18" s="13" t="str">
        <x:v>Not centrally included</x:v>
      </x:c>
      <x:c r="AE18" s="13" t="str">
        <x:v>Varies</x:v>
      </x:c>
      <x:c r="AF18" s="13" t="str">
        <x:v>Lab/opportunity dependent</x:v>
      </x:c>
      <x:c r="AG18" s="13" t="str">
        <x:v>No</x:v>
      </x:c>
      <x:c r="AH18" s="13" t="str">
        <x:v>https://www.onr.navy.mil/education-outreach/undergraduate-graduate/nreip-naval-internship</x:v>
      </x:c>
      <x:c r="AI18" s="13" t="str">
        <x:v>https://www.onr.navy.mil/education-outreach/undergraduate-graduate/nreip-naval-internship</x:v>
      </x:c>
      <x:c r="AJ18" s="32" t="n">
        <x:v>46265</x:v>
      </x:c>
      <x:c r="AK18" s="13" t="str">
        <x:v>High</x:v>
      </x:c>
      <x:c r="AL18" s="13" t="str">
        <x:v>$7,500 shown for a new undergraduate participant; returning undergraduate stipend is higher.</x:v>
      </x:c>
    </x:row>
    <x:row r="19" ht="42" customHeight="1">
      <x:c r="A19" s="13" t="str">
        <x:v>DAAD-RISE</x:v>
      </x:c>
      <x:c r="B19" s="13" t="str">
        <x:v>RISE Germany</x:v>
      </x:c>
      <x:c r="C19" s="13" t="str">
        <x:v>DAAD / German host universities and institutes</x:v>
      </x:c>
      <x:c r="D19" s="13" t="str">
        <x:v>DAAD RISE Germany</x:v>
      </x:c>
      <x:c r="E19" s="13" t="str">
        <x:v>International summer research internship</x:v>
      </x:c>
      <x:c r="F19" s="13" t="str">
        <x:v>Interdisciplinary STEM</x:v>
      </x:c>
      <x:c r="G19" s="13" t="str">
        <x:v>Biology; chemistry; physics; earth sciences; engineering; computer science; related natural/life sciences</x:v>
      </x:c>
      <x:c r="H19" s="13" t="str">
        <x:v>Multiple</x:v>
      </x:c>
      <x:c r="I19" s="13" t="str">
        <x:v>International</x:v>
      </x:c>
      <x:c r="J19" s="13" t="str">
        <x:v>Germany</x:v>
      </x:c>
      <x:c r="K19" s="13" t="str">
        <x:v>Host institutions across Germany</x:v>
      </x:c>
      <x:c r="L19" s="13" t="str">
        <x:v>In person</x:v>
      </x:c>
      <x:c r="M19" s="13" t="str">
        <x:v>Yes</x:v>
      </x:c>
      <x:c r="N19" s="13" t="str">
        <x:v>Enrollment-based eligibility; applicants from eligible North American/British/Irish universities</x:v>
      </x:c>
      <x:c r="O19" s="13" t="str">
        <x:v>Undergraduates in qualifying degree programs; generally ≥2 years completed by internship</x:v>
      </x:c>
      <x:c r="P19" s="40"/>
      <x:c r="Q19" s="40"/>
      <x:c r="R19" s="32"/>
      <x:c r="S19" s="32"/>
      <x:c r="T19" s="32" t="n">
        <x:v>46310</x:v>
      </x:c>
      <x:c r="U19" s="32" t="n">
        <x:v>46356</x:v>
      </x:c>
      <x:c r="V19" s="13" t="str">
        <x:v>2027 application: Oct 15–Nov 30, 2026</x:v>
      </x:c>
      <x:c r="W19" s="13" t="n">
        <x:v>2027</x:v>
      </x:c>
      <x:c r="X19" s="13" t="str">
        <x:v>2027 upcoming; application dates posted</x:v>
      </x:c>
      <x:c r="Y19" s="36"/>
      <x:c r="Z19" s="36"/>
      <x:c r="AA19" s="13" t="str">
        <x:v>Assistance</x:v>
      </x:c>
      <x:c r="AB19" s="13" t="str">
        <x:v>DAAD/hosts assist with housing; arrangement varies</x:v>
      </x:c>
      <x:c r="AC19" s="13" t="str">
        <x:v>No</x:v>
      </x:c>
      <x:c r="AD19" s="13" t="str">
        <x:v>Covered from monthly stipend rather than provided meal plan</x:v>
      </x:c>
      <x:c r="AE19" s="13" t="str">
        <x:v>Varies</x:v>
      </x:c>
      <x:c r="AF19" s="13" t="str">
        <x:v>Travel-related support varies by applicant/country and current DAAD rules</x:v>
      </x:c>
      <x:c r="AG19" s="13" t="str">
        <x:v>Varies</x:v>
      </x:c>
      <x:c r="AH19" s="13" t="str">
        <x:v>https://www.daad.de/rise/en/rise-germany/</x:v>
      </x:c>
      <x:c r="AI19" s="13" t="str">
        <x:v>https://www.daad.de/rise/en/rise-germany/find-an-internship/what-applicants-need-to-know/</x:v>
      </x:c>
      <x:c r="AJ19" s="32" t="n">
        <x:v>46265</x:v>
      </x:c>
      <x:c r="AK19" s="13" t="str">
        <x:v>High</x:v>
      </x:c>
      <x:c r="AL19" s="13" t="str">
        <x:v>Monthly DAAD stipend; English is normally the working language.</x:v>
      </x:c>
    </x:row>
    <x:row r="20" ht="42" customHeight="1">
      <x:c r="A20" s="13" t="str">
        <x:v>LEAD-SREIP</x:v>
      </x:c>
      <x:c r="B20" s="13" t="str">
        <x:v>Summer Research Early Identification Program (SR-EIP)</x:v>
      </x:c>
      <x:c r="C20" s="13" t="str">
        <x:v>The Leadership Alliance member institutions</x:v>
      </x:c>
      <x:c r="D20" s="13" t="str">
        <x:v>The Leadership Alliance</x:v>
      </x:c>
      <x:c r="E20" s="13" t="str">
        <x:v>Multi-institution summer research program</x:v>
      </x:c>
      <x:c r="F20" s="13" t="str">
        <x:v>Multidisciplinary</x:v>
      </x:c>
      <x:c r="G20" s="13" t="str">
        <x:v>Life sciences; physical sciences; social sciences; behavioral sciences; humanities; interdisciplinary</x:v>
      </x:c>
      <x:c r="H20" s="13" t="str">
        <x:v>Multiple</x:v>
      </x:c>
      <x:c r="I20" s="13" t="str">
        <x:v>Multiple</x:v>
      </x:c>
      <x:c r="J20" s="13" t="str">
        <x:v>USA</x:v>
      </x:c>
      <x:c r="K20" s="13" t="str">
        <x:v>~20 host institutions</x:v>
      </x:c>
      <x:c r="L20" s="13" t="str">
        <x:v>In person</x:v>
      </x:c>
      <x:c r="M20" s="13" t="str">
        <x:v>Yes</x:v>
      </x:c>
      <x:c r="N20" s="13" t="str">
        <x:v>See current Leadership Alliance eligibility</x:v>
      </x:c>
      <x:c r="O20" s="13" t="str">
        <x:v>Undergraduates; host and program rules apply</x:v>
      </x:c>
      <x:c r="P20" s="40"/>
      <x:c r="Q20" s="40" t="n">
        <x:v>8</x:v>
      </x:c>
      <x:c r="R20" s="32"/>
      <x:c r="S20" s="32"/>
      <x:c r="T20" s="32"/>
      <x:c r="U20" s="32" t="n">
        <x:v>46056</x:v>
      </x:c>
      <x:c r="V20" s="13" t="str">
        <x:v>2026 deadline: Feb 3, 2026</x:v>
      </x:c>
      <x:c r="W20" s="13" t="n">
        <x:v>2026</x:v>
      </x:c>
      <x:c r="X20" s="13" t="str">
        <x:v>2026 closed; monitor for 2027</x:v>
      </x:c>
      <x:c r="Y20" s="36"/>
      <x:c r="Z20" s="36"/>
      <x:c r="AA20" s="13" t="str">
        <x:v>Yes</x:v>
      </x:c>
      <x:c r="AB20" s="13" t="str">
        <x:v>Housing expenses covered through host program</x:v>
      </x:c>
      <x:c r="AC20" s="13" t="str">
        <x:v>Varies</x:v>
      </x:c>
      <x:c r="AD20" s="13" t="str">
        <x:v>Host-specific support varies</x:v>
      </x:c>
      <x:c r="AE20" s="13" t="str">
        <x:v>Yes</x:v>
      </x:c>
      <x:c r="AF20" s="13" t="str">
        <x:v>Travel support included</x:v>
      </x:c>
      <x:c r="AG20" s="13" t="str">
        <x:v>No</x:v>
      </x:c>
      <x:c r="AH20" s="13" t="str">
        <x:v>https://theleadershipalliance.org/summer-research-early-identification-program</x:v>
      </x:c>
      <x:c r="AI20" s="13" t="str">
        <x:v>https://app.theleadershipalliance.org/</x:v>
      </x:c>
      <x:c r="AJ20" s="32" t="n">
        <x:v>46265</x:v>
      </x:c>
      <x:c r="AK20" s="13" t="str">
        <x:v>High</x:v>
      </x:c>
      <x:c r="AL20" s="13" t="str">
        <x:v>Fully paid 8–10 week program; stipend and exact benefits vary by host institution.</x:v>
      </x:c>
    </x:row>
    <x:row r="21" ht="42" customHeight="1">
      <x:c r="A21" s="13" t="str">
        <x:v>UPENN-SUIP</x:v>
      </x:c>
      <x:c r="B21" s="13" t="str">
        <x:v>Summer Undergraduate Internship Program (SUIP)</x:v>
      </x:c>
      <x:c r="C21" s="13" t="str">
        <x:v>University of Pennsylvania Perelman School of Medicine</x:v>
      </x:c>
      <x:c r="D21" s="13" t="str">
        <x:v>University program</x:v>
      </x:c>
      <x:c r="E21" s="13" t="str">
        <x:v>SURP / biomedical summer research</x:v>
      </x:c>
      <x:c r="F21" s="13" t="str">
        <x:v>Biomedical &amp; Health</x:v>
      </x:c>
      <x:c r="G21" s="13" t="str">
        <x:v>Biomedical sciences; cell biology; genetics; neuroscience; cancer; immunology; related fields</x:v>
      </x:c>
      <x:c r="H21" s="13" t="str">
        <x:v>Philadelphia</x:v>
      </x:c>
      <x:c r="I21" s="13" t="str">
        <x:v>PA</x:v>
      </x:c>
      <x:c r="J21" s="13" t="str">
        <x:v>USA</x:v>
      </x:c>
      <x:c r="K21" s="13" t="str">
        <x:v>Penn campus</x:v>
      </x:c>
      <x:c r="L21" s="13" t="str">
        <x:v>In person</x:v>
      </x:c>
      <x:c r="M21" s="13" t="str">
        <x:v>Yes</x:v>
      </x:c>
      <x:c r="N21" s="13" t="str">
        <x:v>U.S. citizen or permanent resident</x:v>
      </x:c>
      <x:c r="O21" s="13" t="str">
        <x:v>Four-year college students enrolled the following fall; preference for sophomores/juniors</x:v>
      </x:c>
      <x:c r="P21" s="40"/>
      <x:c r="Q21" s="40" t="n">
        <x:v>10</x:v>
      </x:c>
      <x:c r="R21" s="32" t="n">
        <x:v>46545</x:v>
      </x:c>
      <x:c r="S21" s="32" t="n">
        <x:v>46612</x:v>
      </x:c>
      <x:c r="T21" s="32" t="n">
        <x:v>46296</x:v>
      </x:c>
      <x:c r="U21" s="32" t="n">
        <x:v>46419</x:v>
      </x:c>
      <x:c r="V21" s="13" t="str">
        <x:v>2027 application: Oct 1, 2026–Feb 1, 2027</x:v>
      </x:c>
      <x:c r="W21" s="13" t="n">
        <x:v>2027</x:v>
      </x:c>
      <x:c r="X21" s="13" t="str">
        <x:v>2027 upcoming; dates and deadline posted</x:v>
      </x:c>
      <x:c r="Y21" s="36" t="n">
        <x:v>5500</x:v>
      </x:c>
      <x:c r="Z21" s="36" t="n">
        <x:v>550</x:v>
      </x:c>
      <x:c r="AA21" s="13" t="str">
        <x:v>Yes</x:v>
      </x:c>
      <x:c r="AB21" s="13" t="str">
        <x:v>On-campus housing included</x:v>
      </x:c>
      <x:c r="AC21" s="13" t="str">
        <x:v>Yes</x:v>
      </x:c>
      <x:c r="AD21" s="13" t="str">
        <x:v>Meal plan included</x:v>
      </x:c>
      <x:c r="AE21" s="13" t="str">
        <x:v>Yes</x:v>
      </x:c>
      <x:c r="AF21" s="13" t="str">
        <x:v>One round-trip transportation award included</x:v>
      </x:c>
      <x:c r="AG21" s="13" t="str">
        <x:v>No</x:v>
      </x:c>
      <x:c r="AH21" s="13" t="str">
        <x:v>https://www.med.upenn.edu/research-trainee-affairs/suip/</x:v>
      </x:c>
      <x:c r="AI21" s="13" t="str">
        <x:v>https://www.med.upenn.edu/research-trainee-affairs/suip/</x:v>
      </x:c>
      <x:c r="AJ21" s="32" t="n">
        <x:v>46265</x:v>
      </x:c>
      <x:c r="AK21" s="13" t="str">
        <x:v>High</x:v>
      </x:c>
      <x:c r="AL21" s="13" t="str">
        <x:v>Strong biomedical option with unusually complete 2027 details already posted.</x:v>
      </x:c>
    </x:row>
    <x:row r="22" ht="42" customHeight="1">
      <x:c r="A22" s="13" t="str">
        <x:v>ROCK-SURF</x:v>
      </x:c>
      <x:c r="B22" s="13" t="str">
        <x:v>Summer Undergraduate Research Fellowship (SURF)</x:v>
      </x:c>
      <x:c r="C22" s="13" t="str">
        <x:v>The Rockefeller University</x:v>
      </x:c>
      <x:c r="D22" s="13" t="str">
        <x:v>University program</x:v>
      </x:c>
      <x:c r="E22" s="13" t="str">
        <x:v>SURF / biomedical research</x:v>
      </x:c>
      <x:c r="F22" s="13" t="str">
        <x:v>Biomedical &amp; Health</x:v>
      </x:c>
      <x:c r="G22" s="13" t="str">
        <x:v>Biomedical sciences; molecular biology; neuroscience; genetics; cell biology; biophysics; quantitative biology</x:v>
      </x:c>
      <x:c r="H22" s="13" t="str">
        <x:v>New York</x:v>
      </x:c>
      <x:c r="I22" s="13" t="str">
        <x:v>NY</x:v>
      </x:c>
      <x:c r="J22" s="13" t="str">
        <x:v>USA</x:v>
      </x:c>
      <x:c r="K22" s="13" t="str">
        <x:v>Rockefeller University</x:v>
      </x:c>
      <x:c r="L22" s="13" t="str">
        <x:v>In person</x:v>
      </x:c>
      <x:c r="M22" s="13" t="str">
        <x:v>Yes</x:v>
      </x:c>
      <x:c r="N22" s="13" t="str">
        <x:v>International students eligible; see current application rules</x:v>
      </x:c>
      <x:c r="O22" s="13" t="str">
        <x:v>College sophomores and juniors</x:v>
      </x:c>
      <x:c r="P22" s="40"/>
      <x:c r="Q22" s="40" t="n">
        <x:v>10</x:v>
      </x:c>
      <x:c r="R22" s="32" t="n">
        <x:v>46174</x:v>
      </x:c>
      <x:c r="S22" s="32" t="n">
        <x:v>46241</x:v>
      </x:c>
      <x:c r="T22" s="32"/>
      <x:c r="U22" s="32" t="n">
        <x:v>46054</x:v>
      </x:c>
      <x:c r="V22" s="13" t="str">
        <x:v>2026 deadline: Feb 1, 2026</x:v>
      </x:c>
      <x:c r="W22" s="13" t="n">
        <x:v>2026</x:v>
      </x:c>
      <x:c r="X22" s="13" t="str">
        <x:v>2026 closed; monitor for 2027</x:v>
      </x:c>
      <x:c r="Y22" s="36" t="n">
        <x:v>6500</x:v>
      </x:c>
      <x:c r="Z22" s="36" t="n">
        <x:v>650</x:v>
      </x:c>
      <x:c r="AA22" s="13" t="str">
        <x:v>Yes</x:v>
      </x:c>
      <x:c r="AB22" s="13" t="str">
        <x:v>Free housing for students unable to commute</x:v>
      </x:c>
      <x:c r="AC22" s="13" t="str">
        <x:v>No</x:v>
      </x:c>
      <x:c r="AD22" s="13" t="str">
        <x:v>Not listed as a provided meal plan</x:v>
      </x:c>
      <x:c r="AE22" s="13" t="str">
        <x:v>Not specified</x:v>
      </x:c>
      <x:c r="AF22" s="13" t="str">
        <x:v>Not clearly specified on current program page</x:v>
      </x:c>
      <x:c r="AG22" s="13" t="str">
        <x:v>No</x:v>
      </x:c>
      <x:c r="AH22" s="13" t="str">
        <x:v>https://www.rockefeller.edu/education-and-training/surf/application-information/</x:v>
      </x:c>
      <x:c r="AI22" s="13" t="str">
        <x:v>https://surfapplication.rockefeller.edu/</x:v>
      </x:c>
      <x:c r="AJ22" s="32" t="n">
        <x:v>46265</x:v>
      </x:c>
      <x:c r="AK22" s="13" t="str">
        <x:v>High</x:v>
      </x:c>
      <x:c r="AL22" s="13" t="str">
        <x:v>International eligibility makes this useful to flag separately from NSF-funded citizen/PR-only programs.</x:v>
      </x:c>
    </x:row>
    <x:row r="23" ht="42" customHeight="1">
      <x:c r="A23" s="13" t="str">
        <x:v>CSHL-URP</x:v>
      </x:c>
      <x:c r="B23" s="13" t="str">
        <x:v>Undergraduate Research Program (URP)</x:v>
      </x:c>
      <x:c r="C23" s="13" t="str">
        <x:v>Cold Spring Harbor Laboratory</x:v>
      </x:c>
      <x:c r="D23" s="13" t="str">
        <x:v>Independent research institute</x:v>
      </x:c>
      <x:c r="E23" s="13" t="str">
        <x:v>Undergraduate research program</x:v>
      </x:c>
      <x:c r="F23" s="13" t="str">
        <x:v>Life Sciences</x:v>
      </x:c>
      <x:c r="G23" s="13" t="str">
        <x:v>Molecular biology; cancer; genetics; genomics; neuroscience; plant biology; quantitative biology</x:v>
      </x:c>
      <x:c r="H23" s="13" t="str">
        <x:v>Cold Spring Harbor</x:v>
      </x:c>
      <x:c r="I23" s="13" t="str">
        <x:v>NY</x:v>
      </x:c>
      <x:c r="J23" s="13" t="str">
        <x:v>USA</x:v>
      </x:c>
      <x:c r="K23" s="13" t="str">
        <x:v>Cold Spring Harbor Laboratory</x:v>
      </x:c>
      <x:c r="L23" s="13" t="str">
        <x:v>In person</x:v>
      </x:c>
      <x:c r="M23" s="13" t="str">
        <x:v>Yes</x:v>
      </x:c>
      <x:c r="N23" s="13" t="str">
        <x:v>Students worldwide eligible</x:v>
      </x:c>
      <x:c r="O23" s="13" t="str">
        <x:v>Undergraduates; current eligibility rules apply</x:v>
      </x:c>
      <x:c r="P23" s="40"/>
      <x:c r="Q23" s="40" t="n">
        <x:v>9</x:v>
      </x:c>
      <x:c r="R23" s="32" t="n">
        <x:v>46545</x:v>
      </x:c>
      <x:c r="S23" s="32" t="n">
        <x:v>46606</x:v>
      </x:c>
      <x:c r="T23" s="32"/>
      <x:c r="U23" s="32" t="n">
        <x:v>46402</x:v>
      </x:c>
      <x:c r="V23" s="13" t="str">
        <x:v>Site materials reference Jan 15; verify exact 2027 cycle deadline when application opens</x:v>
      </x:c>
      <x:c r="W23" s="13" t="n">
        <x:v>2027</x:v>
      </x:c>
      <x:c r="X23" s="13" t="str">
        <x:v>2027 program dates posted; application deadline should be re-verified</x:v>
      </x:c>
      <x:c r="Y23" s="36" t="n">
        <x:v>7000</x:v>
      </x:c>
      <x:c r="Z23" s="36"/>
      <x:c r="AA23" s="13" t="str">
        <x:v>Yes</x:v>
      </x:c>
      <x:c r="AB23" s="13" t="str">
        <x:v>Room covered</x:v>
      </x:c>
      <x:c r="AC23" s="13" t="str">
        <x:v>Yes</x:v>
      </x:c>
      <x:c r="AD23" s="13" t="str">
        <x:v>Board covered; meals provided</x:v>
      </x:c>
      <x:c r="AE23" s="13" t="str">
        <x:v>Not specified</x:v>
      </x:c>
      <x:c r="AF23" s="13" t="str">
        <x:v>Not clearly specified on main page</x:v>
      </x:c>
      <x:c r="AG23" s="13" t="str">
        <x:v>No</x:v>
      </x:c>
      <x:c r="AH23" s="13" t="str">
        <x:v>https://www.cshl.edu/education/undergraduate-research-program/</x:v>
      </x:c>
      <x:c r="AI23" s="13" t="str">
        <x:v>https://www.cshl.edu/education/undergraduate-research-program/</x:v>
      </x:c>
      <x:c r="AJ23" s="32" t="n">
        <x:v>46265</x:v>
      </x:c>
      <x:c r="AK23" s="13" t="str">
        <x:v>Medium-High</x:v>
      </x:c>
      <x:c r="AL23" s="13" t="str">
        <x:v>Approx. 20 students; international-friendly program.</x:v>
      </x:c>
    </x:row>
    <x:row r="24" ht="42" customHeight="1">
      <x:c r="A24" s="13" t="str">
        <x:v>FH-SURP</x:v>
      </x:c>
      <x:c r="B24" s="13" t="str">
        <x:v>Summer Undergraduate Research Program (SURP)</x:v>
      </x:c>
      <x:c r="C24" s="13" t="str">
        <x:v>Fred Hutch Cancer Center</x:v>
      </x:c>
      <x:c r="D24" s="13" t="str">
        <x:v>Independent research institute</x:v>
      </x:c>
      <x:c r="E24" s="13" t="str">
        <x:v>SURP / biomedical research</x:v>
      </x:c>
      <x:c r="F24" s="13" t="str">
        <x:v>Biomedical &amp; Health</x:v>
      </x:c>
      <x:c r="G24" s="13" t="str">
        <x:v>Cancer biology; infectious disease; immunology; public health; computational biology; translational science</x:v>
      </x:c>
      <x:c r="H24" s="13" t="str">
        <x:v>Seattle</x:v>
      </x:c>
      <x:c r="I24" s="13" t="str">
        <x:v>WA</x:v>
      </x:c>
      <x:c r="J24" s="13" t="str">
        <x:v>USA</x:v>
      </x:c>
      <x:c r="K24" s="13" t="str">
        <x:v>Fred Hutch campus</x:v>
      </x:c>
      <x:c r="L24" s="13" t="str">
        <x:v>In person</x:v>
      </x:c>
      <x:c r="M24" s="13" t="str">
        <x:v>Yes</x:v>
      </x:c>
      <x:c r="N24" s="13" t="str">
        <x:v>U.S. citizen or permanent resident</x:v>
      </x:c>
      <x:c r="O24" s="13" t="str">
        <x:v>Students entering final undergraduate year after the summer</x:v>
      </x:c>
      <x:c r="P24" s="40"/>
      <x:c r="Q24" s="40" t="n">
        <x:v>9</x:v>
      </x:c>
      <x:c r="R24" s="32" t="n">
        <x:v>46195</x:v>
      </x:c>
      <x:c r="S24" s="32" t="n">
        <x:v>46255</x:v>
      </x:c>
      <x:c r="T24" s="32"/>
      <x:c r="U24" s="32"/>
      <x:c r="V24" s="13" t="str">
        <x:v>2026 closed; 2027 deadline not yet posted</x:v>
      </x:c>
      <x:c r="W24" s="13" t="n">
        <x:v>2026</x:v>
      </x:c>
      <x:c r="X24" s="13" t="str">
        <x:v>2026 closed; monitor for 2027</x:v>
      </x:c>
      <x:c r="Y24" s="36" t="n">
        <x:v>7304</x:v>
      </x:c>
      <x:c r="Z24" s="36"/>
      <x:c r="AA24" s="13" t="str">
        <x:v>No</x:v>
      </x:c>
      <x:c r="AB24" s="13" t="str">
        <x:v>Housing not included; optional housing listed at approximately $3,300 for 2026</x:v>
      </x:c>
      <x:c r="AC24" s="13" t="str">
        <x:v>No</x:v>
      </x:c>
      <x:c r="AD24" s="13" t="str">
        <x:v>Meals not included</x:v>
      </x:c>
      <x:c r="AE24" s="13" t="str">
        <x:v>Yes</x:v>
      </x:c>
      <x:c r="AF24" s="13" t="str">
        <x:v>Round-trip travel to Seattle reimbursed up to $450</x:v>
      </x:c>
      <x:c r="AG24" s="13" t="str">
        <x:v>No</x:v>
      </x:c>
      <x:c r="AH24" s="13" t="str">
        <x:v>https://www.fredhutch.org/en/education-training/undergraduate-students/summer-undergraduate-research-program.html</x:v>
      </x:c>
      <x:c r="AI24" s="13" t="str">
        <x:v>https://www.fredhutch.org/en/education-training/undergraduate-students/summer-undergraduate-research-program.html</x:v>
      </x:c>
      <x:c r="AJ24" s="32" t="n">
        <x:v>46265</x:v>
      </x:c>
      <x:c r="AK24" s="13" t="str">
        <x:v>High</x:v>
      </x:c>
      <x:c r="AL24" s="13" t="str">
        <x:v>Housing/meals/local transportation explicitly not included, useful for net-benefit comparison.</x:v>
      </x:c>
    </x:row>
    <x:row r="25" ht="42" customHeight="1">
      <x:c r="A25" s="13" t="str">
        <x:v>FH-PUR</x:v>
      </x:c>
      <x:c r="B25" s="13" t="str">
        <x:v>Pathways Undergraduate Researchers</x:v>
      </x:c>
      <x:c r="C25" s="13" t="str">
        <x:v>Fred Hutch Cancer Center</x:v>
      </x:c>
      <x:c r="D25" s="13" t="str">
        <x:v>Independent research institute</x:v>
      </x:c>
      <x:c r="E25" s="13" t="str">
        <x:v>Early-undergraduate research program</x:v>
      </x:c>
      <x:c r="F25" s="13" t="str">
        <x:v>Biomedical &amp; Health</x:v>
      </x:c>
      <x:c r="G25" s="13" t="str">
        <x:v>Biomedical sciences; cancer; public health; laboratory and computational research</x:v>
      </x:c>
      <x:c r="H25" s="13" t="str">
        <x:v>Seattle</x:v>
      </x:c>
      <x:c r="I25" s="13" t="str">
        <x:v>WA</x:v>
      </x:c>
      <x:c r="J25" s="13" t="str">
        <x:v>USA</x:v>
      </x:c>
      <x:c r="K25" s="13" t="str">
        <x:v>Fred Hutch campus</x:v>
      </x:c>
      <x:c r="L25" s="13" t="str">
        <x:v>In person</x:v>
      </x:c>
      <x:c r="M25" s="13" t="str">
        <x:v>Yes</x:v>
      </x:c>
      <x:c r="N25" s="13" t="str">
        <x:v>See current program eligibility</x:v>
      </x:c>
      <x:c r="O25" s="13" t="str">
        <x:v>Early undergraduates; designed for students not yet entering third year and with limited research experience</x:v>
      </x:c>
      <x:c r="P25" s="40"/>
      <x:c r="Q25" s="40" t="n">
        <x:v>9</x:v>
      </x:c>
      <x:c r="R25" s="32" t="n">
        <x:v>46188</x:v>
      </x:c>
      <x:c r="S25" s="32" t="n">
        <x:v>46248</x:v>
      </x:c>
      <x:c r="T25" s="32"/>
      <x:c r="U25" s="32"/>
      <x:c r="V25" s="13" t="str">
        <x:v>2027 information expected November 2026</x:v>
      </x:c>
      <x:c r="W25" s="13" t="n">
        <x:v>2026</x:v>
      </x:c>
      <x:c r="X25" s="13" t="str">
        <x:v>2026 closed; 2027 info expected Nov 2026</x:v>
      </x:c>
      <x:c r="Y25" s="36"/>
      <x:c r="Z25" s="36"/>
      <x:c r="AA25" s="13" t="str">
        <x:v>No</x:v>
      </x:c>
      <x:c r="AB25" s="13" t="str">
        <x:v>Not listed as included</x:v>
      </x:c>
      <x:c r="AC25" s="13" t="str">
        <x:v>Varies</x:v>
      </x:c>
      <x:c r="AD25" s="13" t="str">
        <x:v>Some program activities/meals may be covered; verify current cycle</x:v>
      </x:c>
      <x:c r="AE25" s="13" t="str">
        <x:v>Varies</x:v>
      </x:c>
      <x:c r="AF25" s="13" t="str">
        <x:v>Travel and research funds may be available</x:v>
      </x:c>
      <x:c r="AG25" s="13" t="str">
        <x:v>No</x:v>
      </x:c>
      <x:c r="AH25" s="13" t="str">
        <x:v>https://www.fredhutch.org/en/education-training/undergraduate-students/pathways-undergraduate-researchers.html</x:v>
      </x:c>
      <x:c r="AI25" s="13" t="str">
        <x:v>https://www.fredhutch.org/en/education-training/undergraduate-students/pathways-undergraduate-researchers.html</x:v>
      </x:c>
      <x:c r="AJ25" s="32" t="n">
        <x:v>46265</x:v>
      </x:c>
      <x:c r="AK25" s="13" t="str">
        <x:v>Medium-High</x:v>
      </x:c>
      <x:c r="AL25" s="13" t="str">
        <x:v>Designed for an earlier undergraduate stage than many REUs.</x:v>
      </x:c>
    </x:row>
    <x:row r="26" ht="42" customHeight="1">
      <x:c r="A26" s="13" t="str">
        <x:v>FH-STAT</x:v>
      </x:c>
      <x:c r="B26" s="13" t="str">
        <x:v>SeattleStatGROWS</x:v>
      </x:c>
      <x:c r="C26" s="13" t="str">
        <x:v>Fred Hutch Cancer Center</x:v>
      </x:c>
      <x:c r="D26" s="13" t="str">
        <x:v>Independent research institute</x:v>
      </x:c>
      <x:c r="E26" s="13" t="str">
        <x:v>Summer quantitative research program</x:v>
      </x:c>
      <x:c r="F26" s="13" t="str">
        <x:v>Mathematics &amp; Statistics</x:v>
      </x:c>
      <x:c r="G26" s="13" t="str">
        <x:v>Statistics; biostatistics; informatics; data science; biomedical data; quantitative research</x:v>
      </x:c>
      <x:c r="H26" s="13" t="str">
        <x:v>Seattle</x:v>
      </x:c>
      <x:c r="I26" s="13" t="str">
        <x:v>WA</x:v>
      </x:c>
      <x:c r="J26" s="13" t="str">
        <x:v>USA</x:v>
      </x:c>
      <x:c r="K26" s="13" t="str">
        <x:v>Fred Hutch / Seattle</x:v>
      </x:c>
      <x:c r="L26" s="13" t="str">
        <x:v>In person</x:v>
      </x:c>
      <x:c r="M26" s="13" t="str">
        <x:v>Yes</x:v>
      </x:c>
      <x:c r="N26" s="13" t="str">
        <x:v>International students not eligible for 2026 program</x:v>
      </x:c>
      <x:c r="O26" s="13" t="str">
        <x:v>Undergraduates at 2- or 4-year colleges; see cycle rules</x:v>
      </x:c>
      <x:c r="P26" s="40"/>
      <x:c r="Q26" s="40" t="n">
        <x:v>8</x:v>
      </x:c>
      <x:c r="R26" s="32" t="n">
        <x:v>46197</x:v>
      </x:c>
      <x:c r="S26" s="32" t="n">
        <x:v>46253</x:v>
      </x:c>
      <x:c r="T26" s="32"/>
      <x:c r="U26" s="32" t="n">
        <x:v>46075</x:v>
      </x:c>
      <x:c r="V26" s="13" t="str">
        <x:v>2026 deadline: Feb 22, 2026</x:v>
      </x:c>
      <x:c r="W26" s="13" t="n">
        <x:v>2026</x:v>
      </x:c>
      <x:c r="X26" s="13" t="str">
        <x:v>2026 closed; monitor for 2027</x:v>
      </x:c>
      <x:c r="Y26" s="36" t="n">
        <x:v>5700</x:v>
      </x:c>
      <x:c r="Z26" s="36"/>
      <x:c r="AA26" s="13" t="str">
        <x:v>No</x:v>
      </x:c>
      <x:c r="AB26" s="13" t="str">
        <x:v>Not listed as included</x:v>
      </x:c>
      <x:c r="AC26" s="13" t="str">
        <x:v>Partial</x:v>
      </x:c>
      <x:c r="AD26" s="13" t="str">
        <x:v>Some group meals provided</x:v>
      </x:c>
      <x:c r="AE26" s="13" t="str">
        <x:v>Local</x:v>
      </x:c>
      <x:c r="AF26" s="13" t="str">
        <x:v>Free ORCA public-transit pass; additional research-expense funding available</x:v>
      </x:c>
      <x:c r="AG26" s="13" t="str">
        <x:v>No</x:v>
      </x:c>
      <x:c r="AH26" s="13" t="str">
        <x:v>https://www.fredhutch.org/en/education-training/undergraduate-students/seattlestatgrows.html</x:v>
      </x:c>
      <x:c r="AI26" s="13" t="str">
        <x:v>https://www.fredhutch.org/en/education-training/undergraduate-students/seattlestatgrows.html</x:v>
      </x:c>
      <x:c r="AJ26" s="32" t="n">
        <x:v>46265</x:v>
      </x:c>
      <x:c r="AK26" s="13" t="str">
        <x:v>High</x:v>
      </x:c>
      <x:c r="AL26" s="13" t="str">
        <x:v>Quantitative biomedical option that a biology-only search could miss.</x:v>
      </x:c>
    </x:row>
    <x:row r="27" ht="42" customHeight="1">
      <x:c r="A27" s="13" t="str">
        <x:v>BU-SURF</x:v>
      </x:c>
      <x:c r="B27" s="13" t="str">
        <x:v>Boston University SURF / REU</x:v>
      </x:c>
      <x:c r="C27" s="13" t="str">
        <x:v>Boston University</x:v>
      </x:c>
      <x:c r="D27" s="13" t="str">
        <x:v>NSF REU / university program</x:v>
      </x:c>
      <x:c r="E27" s="13" t="str">
        <x:v>NSF REU / SURF</x:v>
      </x:c>
      <x:c r="F27" s="13" t="str">
        <x:v>Life Sciences</x:v>
      </x:c>
      <x:c r="G27" s="13" t="str">
        <x:v>Biology; molecular biology; biochemistry; genetics; environmental sciences; gene expression</x:v>
      </x:c>
      <x:c r="H27" s="13" t="str">
        <x:v>Boston</x:v>
      </x:c>
      <x:c r="I27" s="13" t="str">
        <x:v>MA</x:v>
      </x:c>
      <x:c r="J27" s="13" t="str">
        <x:v>USA</x:v>
      </x:c>
      <x:c r="K27" s="13" t="str">
        <x:v>Boston University</x:v>
      </x:c>
      <x:c r="L27" s="13" t="str">
        <x:v>In person</x:v>
      </x:c>
      <x:c r="M27" s="13" t="str">
        <x:v>Yes</x:v>
      </x:c>
      <x:c r="N27" s="13" t="str">
        <x:v>U.S. citizen or permanent resident</x:v>
      </x:c>
      <x:c r="O27" s="13" t="str">
        <x:v>Non-BU rising sophomores/juniors/seniors; some tracks emphasize rising juniors/seniors</x:v>
      </x:c>
      <x:c r="P27" s="40" t="n">
        <x:v>3</x:v>
      </x:c>
      <x:c r="Q27" s="40" t="n">
        <x:v>10</x:v>
      </x:c>
      <x:c r="R27" s="32"/>
      <x:c r="S27" s="32"/>
      <x:c r="T27" s="32"/>
      <x:c r="U27" s="32" t="n">
        <x:v>46113</x:v>
      </x:c>
      <x:c r="V27" s="13" t="str">
        <x:v>2026 main page listed Apr 1; verify each cycle because site text has varied</x:v>
      </x:c>
      <x:c r="W27" s="13" t="n">
        <x:v>2026</x:v>
      </x:c>
      <x:c r="X27" s="13" t="str">
        <x:v>2026 closed; program reports NSF support through 2028</x:v>
      </x:c>
      <x:c r="Y27" s="36" t="n">
        <x:v>7000</x:v>
      </x:c>
      <x:c r="Z27" s="36" t="n">
        <x:v>700</x:v>
      </x:c>
      <x:c r="AA27" s="13" t="str">
        <x:v>Yes</x:v>
      </x:c>
      <x:c r="AB27" s="13" t="str">
        <x:v>Apartment-style housing included</x:v>
      </x:c>
      <x:c r="AC27" s="13" t="str">
        <x:v>Allowance</x:v>
      </x:c>
      <x:c r="AD27" s="13" t="str">
        <x:v>$80/week food supplement</x:v>
      </x:c>
      <x:c r="AE27" s="13" t="str">
        <x:v>Yes</x:v>
      </x:c>
      <x:c r="AF27" s="13" t="str">
        <x:v>Up to $600 travel support</x:v>
      </x:c>
      <x:c r="AG27" s="13" t="str">
        <x:v>No</x:v>
      </x:c>
      <x:c r="AH27" s="13" t="str">
        <x:v>https://www.bu.edu/surf/</x:v>
      </x:c>
      <x:c r="AI27" s="13" t="str">
        <x:v>https://etap.nsf.gov/</x:v>
      </x:c>
      <x:c r="AJ27" s="32" t="n">
        <x:v>46265</x:v>
      </x:c>
      <x:c r="AK27" s="13" t="str">
        <x:v>High</x:v>
      </x:c>
      <x:c r="AL27" s="13" t="str">
        <x:v>$1,000 in laboratory supplies also provided.</x:v>
      </x:c>
    </x:row>
    <x:row r="28" ht="42" customHeight="1">
      <x:c r="A28" s="13" t="str">
        <x:v>BU-PRO</x:v>
      </x:c>
      <x:c r="B28" s="13" t="str">
        <x:v>BU Physics Research Opportunities (BU-PRO)</x:v>
      </x:c>
      <x:c r="C28" s="13" t="str">
        <x:v>Boston University Department of Physics</x:v>
      </x:c>
      <x:c r="D28" s="13" t="str">
        <x:v>NSF REU / university program</x:v>
      </x:c>
      <x:c r="E28" s="13" t="str">
        <x:v>Physics REU</x:v>
      </x:c>
      <x:c r="F28" s="13" t="str">
        <x:v>Physics &amp; Astronomy</x:v>
      </x:c>
      <x:c r="G28" s="13" t="str">
        <x:v>High-energy physics; condensed matter; materials; biophysics; astrophysics; physics education</x:v>
      </x:c>
      <x:c r="H28" s="13" t="str">
        <x:v>Boston</x:v>
      </x:c>
      <x:c r="I28" s="13" t="str">
        <x:v>MA</x:v>
      </x:c>
      <x:c r="J28" s="13" t="str">
        <x:v>USA</x:v>
      </x:c>
      <x:c r="K28" s="13" t="str">
        <x:v>Boston University</x:v>
      </x:c>
      <x:c r="L28" s="13" t="str">
        <x:v>In person</x:v>
      </x:c>
      <x:c r="M28" s="13" t="str">
        <x:v>Yes</x:v>
      </x:c>
      <x:c r="N28" s="13" t="str">
        <x:v>NSF REU eligibility typically U.S. citizen/PR; verify current cycle</x:v>
      </x:c>
      <x:c r="O28" s="13" t="str">
        <x:v>Undergraduate; non-BU students</x:v>
      </x:c>
      <x:c r="P28" s="40"/>
      <x:c r="Q28" s="40" t="n">
        <x:v>10</x:v>
      </x:c>
      <x:c r="R28" s="32"/>
      <x:c r="S28" s="32"/>
      <x:c r="T28" s="32"/>
      <x:c r="U28" s="32"/>
      <x:c r="V28" s="13" t="str">
        <x:v>Current page requires cycle re-verification</x:v>
      </x:c>
      <x:c r="W28" s="13" t="n">
        <x:v>2026</x:v>
      </x:c>
      <x:c r="X28" s="13" t="str">
        <x:v>Current page has incomplete/pending cycle information; verify before applying</x:v>
      </x:c>
      <x:c r="Y28" s="36" t="n">
        <x:v>7000</x:v>
      </x:c>
      <x:c r="Z28" s="36" t="n">
        <x:v>700</x:v>
      </x:c>
      <x:c r="AA28" s="13" t="str">
        <x:v>Yes</x:v>
      </x:c>
      <x:c r="AB28" s="13" t="str">
        <x:v>Housing included</x:v>
      </x:c>
      <x:c r="AC28" s="13" t="str">
        <x:v>No</x:v>
      </x:c>
      <x:c r="AD28" s="13" t="str">
        <x:v>Not listed as provided</x:v>
      </x:c>
      <x:c r="AE28" s="13" t="str">
        <x:v>Yes</x:v>
      </x:c>
      <x:c r="AF28" s="13" t="str">
        <x:v>Up to $820 travel; additional conference/return support may be available</x:v>
      </x:c>
      <x:c r="AG28" s="13" t="str">
        <x:v>No</x:v>
      </x:c>
      <x:c r="AH28" s="13" t="str">
        <x:v>https://sites.bu.edu/physics-resources/physics-reu/</x:v>
      </x:c>
      <x:c r="AI28" s="13" t="str">
        <x:v>https://sites.bu.edu/physics-resources/physics-reu/</x:v>
      </x:c>
      <x:c r="AJ28" s="32" t="n">
        <x:v>46265</x:v>
      </x:c>
      <x:c r="AK28" s="13" t="str">
        <x:v>Medium</x:v>
      </x:c>
      <x:c r="AL28" s="13" t="str">
        <x:v>Explicit verification flag retained because current cycle information is incomplete.</x:v>
      </x:c>
    </x:row>
    <x:row r="29" ht="42" customHeight="1">
      <x:c r="A29" s="13" t="str">
        <x:v>BU-NANO-REU</x:v>
      </x:c>
      <x:c r="B29" s="13" t="str">
        <x:v>Integrated Nanomanufacturing REU</x:v>
      </x:c>
      <x:c r="C29" s="13" t="str">
        <x:v>Boston University Photonics Center</x:v>
      </x:c>
      <x:c r="D29" s="13" t="str">
        <x:v>NSF REU / university program</x:v>
      </x:c>
      <x:c r="E29" s="13" t="str">
        <x:v>NSF REU</x:v>
      </x:c>
      <x:c r="F29" s="13" t="str">
        <x:v>Engineering</x:v>
      </x:c>
      <x:c r="G29" s="13" t="str">
        <x:v>Nanotechnology; materials; devices; biotechnology; robotics; electronics; computing; AI; energy</x:v>
      </x:c>
      <x:c r="H29" s="13" t="str">
        <x:v>Boston</x:v>
      </x:c>
      <x:c r="I29" s="13" t="str">
        <x:v>MA</x:v>
      </x:c>
      <x:c r="J29" s="13" t="str">
        <x:v>USA</x:v>
      </x:c>
      <x:c r="K29" s="13" t="str">
        <x:v>Boston University</x:v>
      </x:c>
      <x:c r="L29" s="13" t="str">
        <x:v>In person</x:v>
      </x:c>
      <x:c r="M29" s="13" t="str">
        <x:v>Yes</x:v>
      </x:c>
      <x:c r="N29" s="13" t="str">
        <x:v>U.S. citizen or permanent resident</x:v>
      </x:c>
      <x:c r="O29" s="13" t="str">
        <x:v>STEM majors at 2- and 4-year colleges; non-BU students</x:v>
      </x:c>
      <x:c r="P29" s="40"/>
      <x:c r="Q29" s="40" t="n">
        <x:v>10</x:v>
      </x:c>
      <x:c r="R29" s="32" t="n">
        <x:v>46173</x:v>
      </x:c>
      <x:c r="S29" s="32" t="n">
        <x:v>46242</x:v>
      </x:c>
      <x:c r="T29" s="32" t="n">
        <x:v>46006</x:v>
      </x:c>
      <x:c r="U29" s="32" t="n">
        <x:v>46096</x:v>
      </x:c>
      <x:c r="V29" s="13" t="str">
        <x:v>2026 applications: Dec 15–Mar 15</x:v>
      </x:c>
      <x:c r="W29" s="13" t="n">
        <x:v>2026</x:v>
      </x:c>
      <x:c r="X29" s="13" t="str">
        <x:v>2026 positions filled; monitor 2027</x:v>
      </x:c>
      <x:c r="Y29" s="36" t="n">
        <x:v>7000</x:v>
      </x:c>
      <x:c r="Z29" s="36" t="n">
        <x:v>700</x:v>
      </x:c>
      <x:c r="AA29" s="13" t="str">
        <x:v>Yes</x:v>
      </x:c>
      <x:c r="AB29" s="13" t="str">
        <x:v>Apartment-style housing included</x:v>
      </x:c>
      <x:c r="AC29" s="13" t="str">
        <x:v>Not specified</x:v>
      </x:c>
      <x:c r="AD29" s="13" t="str">
        <x:v>Not centrally listed as meal plan</x:v>
      </x:c>
      <x:c r="AE29" s="13" t="str">
        <x:v>Yes</x:v>
      </x:c>
      <x:c r="AF29" s="13" t="str">
        <x:v>Domestic travel support included</x:v>
      </x:c>
      <x:c r="AG29" s="13" t="str">
        <x:v>No</x:v>
      </x:c>
      <x:c r="AH29" s="13" t="str">
        <x:v>https://www.bu.edu/photonics-programs/reu/programs/</x:v>
      </x:c>
      <x:c r="AI29" s="13" t="str">
        <x:v>https://www.bu.edu/photonics-programs/reu/apply/</x:v>
      </x:c>
      <x:c r="AJ29" s="32" t="n">
        <x:v>46265</x:v>
      </x:c>
      <x:c r="AK29" s="13" t="str">
        <x:v>High</x:v>
      </x:c>
      <x:c r="AL29" s="13" t="str">
        <x:v>One of several BU Photonics Center REUs; other tracks include Translational Biophotonics and Cardiac Tissue Engineering.</x:v>
      </x:c>
    </x:row>
    <x:row r="30" ht="42" customHeight="1">
      <x:c r="A30" s="13" t="str">
        <x:v>AMGEN-UCB</x:v>
      </x:c>
      <x:c r="B30" s="13" t="str">
        <x:v>Amgen Scholars Program at UC Berkeley</x:v>
      </x:c>
      <x:c r="C30" s="13" t="str">
        <x:v>University of California, Berkeley</x:v>
      </x:c>
      <x:c r="D30" s="13" t="str">
        <x:v>Amgen Scholars</x:v>
      </x:c>
      <x:c r="E30" s="13" t="str">
        <x:v>Amgen Scholars / biomedical STEM research</x:v>
      </x:c>
      <x:c r="F30" s="13" t="str">
        <x:v>Biomedical &amp; Health</x:v>
      </x:c>
      <x:c r="G30" s="13" t="str">
        <x:v>Biology; bioengineering; chemistry; computational biology; molecular/cellular sciences; related biomedical fields</x:v>
      </x:c>
      <x:c r="H30" s="13" t="str">
        <x:v>Berkeley</x:v>
      </x:c>
      <x:c r="I30" s="13" t="str">
        <x:v>CA</x:v>
      </x:c>
      <x:c r="J30" s="13" t="str">
        <x:v>USA</x:v>
      </x:c>
      <x:c r="K30" s="13" t="str">
        <x:v>UC Berkeley</x:v>
      </x:c>
      <x:c r="L30" s="13" t="str">
        <x:v>In person</x:v>
      </x:c>
      <x:c r="M30" s="13" t="str">
        <x:v>Yes</x:v>
      </x:c>
      <x:c r="N30" s="13" t="str">
        <x:v>U.S. citizen or permanent resident</x:v>
      </x:c>
      <x:c r="O30" s="13" t="str">
        <x:v>Four-year college; sophomore/junior/non-graduating senior</x:v>
      </x:c>
      <x:c r="P30" s="40" t="n">
        <x:v>3.2</x:v>
      </x:c>
      <x:c r="Q30" s="40" t="n">
        <x:v>10</x:v>
      </x:c>
      <x:c r="R30" s="32" t="n">
        <x:v>46181</x:v>
      </x:c>
      <x:c r="S30" s="32" t="n">
        <x:v>46248</x:v>
      </x:c>
      <x:c r="T30" s="32"/>
      <x:c r="U30" s="32" t="n">
        <x:v>46054</x:v>
      </x:c>
      <x:c r="V30" s="13" t="str">
        <x:v>2026 deadline: Feb 1, 2026</x:v>
      </x:c>
      <x:c r="W30" s="13" t="n">
        <x:v>2026</x:v>
      </x:c>
      <x:c r="X30" s="13" t="str">
        <x:v>2026 closed; 2027 Amgen applications expected from Nov 1, 2026</x:v>
      </x:c>
      <x:c r="Y30" s="36" t="n">
        <x:v>5000</x:v>
      </x:c>
      <x:c r="Z30" s="36" t="n">
        <x:v>500</x:v>
      </x:c>
      <x:c r="AA30" s="13" t="str">
        <x:v>Yes</x:v>
      </x:c>
      <x:c r="AB30" s="13" t="str">
        <x:v>Housing provided</x:v>
      </x:c>
      <x:c r="AC30" s="13" t="str">
        <x:v>Allowance</x:v>
      </x:c>
      <x:c r="AD30" s="13" t="str">
        <x:v>Meal allowance provided</x:v>
      </x:c>
      <x:c r="AE30" s="13" t="str">
        <x:v>Yes</x:v>
      </x:c>
      <x:c r="AF30" s="13" t="str">
        <x:v>Round-trip airfare provided if needed</x:v>
      </x:c>
      <x:c r="AG30" s="13" t="str">
        <x:v>No</x:v>
      </x:c>
      <x:c r="AH30" s="13" t="str">
        <x:v>https://amgenscholars.berkeley.edu/</x:v>
      </x:c>
      <x:c r="AI30" s="13" t="str">
        <x:v>https://amgenscholars.berkeley.edu/applicants/</x:v>
      </x:c>
      <x:c r="AJ30" s="32" t="n">
        <x:v>46265</x:v>
      </x:c>
      <x:c r="AK30" s="13" t="str">
        <x:v>High</x:v>
      </x:c>
      <x:c r="AL30" s="13" t="str">
        <x:v>Host-level details are more actionable than the umbrella Amgen directory alone.</x:v>
      </x:c>
    </x:row>
    <x:row r="31" ht="42" customHeight="1">
      <x:c r="A31" s="13" t="str">
        <x:v>AMGEN-STAN</x:v>
      </x:c>
      <x:c r="B31" s="13" t="str">
        <x:v>Stanford SSRP-Amgen Scholars Program</x:v>
      </x:c>
      <x:c r="C31" s="13" t="str">
        <x:v>Stanford University</x:v>
      </x:c>
      <x:c r="D31" s="13" t="str">
        <x:v>Amgen Scholars</x:v>
      </x:c>
      <x:c r="E31" s="13" t="str">
        <x:v>Amgen Scholars / biomedical research</x:v>
      </x:c>
      <x:c r="F31" s="13" t="str">
        <x:v>Biomedical &amp; Health</x:v>
      </x:c>
      <x:c r="G31" s="13" t="str">
        <x:v>Biosciences; biomedical science; neuroscience; genetics; cell biology; computational biology; related fields</x:v>
      </x:c>
      <x:c r="H31" s="13" t="str">
        <x:v>Stanford</x:v>
      </x:c>
      <x:c r="I31" s="13" t="str">
        <x:v>CA</x:v>
      </x:c>
      <x:c r="J31" s="13" t="str">
        <x:v>USA</x:v>
      </x:c>
      <x:c r="K31" s="13" t="str">
        <x:v>Stanford University</x:v>
      </x:c>
      <x:c r="L31" s="13" t="str">
        <x:v>In person</x:v>
      </x:c>
      <x:c r="M31" s="13" t="str">
        <x:v>Yes</x:v>
      </x:c>
      <x:c r="N31" s="13" t="str">
        <x:v>See current SSRP-Amgen eligibility</x:v>
      </x:c>
      <x:c r="O31" s="13" t="str">
        <x:v>Undergraduate; current program requirements apply</x:v>
      </x:c>
      <x:c r="P31" s="40"/>
      <x:c r="Q31" s="40" t="n">
        <x:v>8</x:v>
      </x:c>
      <x:c r="R31" s="32" t="n">
        <x:v>46193</x:v>
      </x:c>
      <x:c r="S31" s="32" t="n">
        <x:v>46249</x:v>
      </x:c>
      <x:c r="T31" s="32"/>
      <x:c r="U31" s="32" t="n">
        <x:v>46054</x:v>
      </x:c>
      <x:c r="V31" s="13" t="str">
        <x:v>2026 deadline: Feb 1, 2026</x:v>
      </x:c>
      <x:c r="W31" s="13" t="n">
        <x:v>2026</x:v>
      </x:c>
      <x:c r="X31" s="13" t="str">
        <x:v>2026 closed; monitor 2027 application</x:v>
      </x:c>
      <x:c r="Y31" s="36" t="n">
        <x:v>4800</x:v>
      </x:c>
      <x:c r="Z31" s="36" t="n">
        <x:v>600</x:v>
      </x:c>
      <x:c r="AA31" s="13" t="str">
        <x:v>Yes</x:v>
      </x:c>
      <x:c r="AB31" s="13" t="str">
        <x:v>Housing provided</x:v>
      </x:c>
      <x:c r="AC31" s="13" t="str">
        <x:v>Yes</x:v>
      </x:c>
      <x:c r="AD31" s="13" t="str">
        <x:v>Meals/flex-card support provided</x:v>
      </x:c>
      <x:c r="AE31" s="13" t="str">
        <x:v>Yes</x:v>
      </x:c>
      <x:c r="AF31" s="13" t="str">
        <x:v>Travel to/from Stanford covered</x:v>
      </x:c>
      <x:c r="AG31" s="13" t="str">
        <x:v>No</x:v>
      </x:c>
      <x:c r="AH31" s="13" t="str">
        <x:v>https://biosciences.stanford.edu/pathways/ssrp-amgen-scholars-program/</x:v>
      </x:c>
      <x:c r="AI31" s="13" t="str">
        <x:v>https://biosciences.stanford.edu/pathways/ssrp-amgen-scholars-program/the-ssrp-amgen-scholars-program-application/</x:v>
      </x:c>
      <x:c r="AJ31" s="32" t="n">
        <x:v>46265</x:v>
      </x:c>
      <x:c r="AK31" s="13" t="str">
        <x:v>High</x:v>
      </x:c>
      <x:c r="AL31" s="13" t="str">
        <x:v>Program is fully funded; specific flex-card details can change by cycle.</x:v>
      </x:c>
    </x:row>
    <x:row r="32" ht="42" customHeight="1">
      <x:c r="A32" s="13" t="str">
        <x:v>AMGEN-HARV</x:v>
      </x:c>
      <x:c r="B32" s="13" t="str">
        <x:v>Harvard Amgen Scholars Program</x:v>
      </x:c>
      <x:c r="C32" s="13" t="str">
        <x:v>Harvard University</x:v>
      </x:c>
      <x:c r="D32" s="13" t="str">
        <x:v>Amgen Scholars</x:v>
      </x:c>
      <x:c r="E32" s="13" t="str">
        <x:v>Amgen Scholars / biomedical STEM research</x:v>
      </x:c>
      <x:c r="F32" s="13" t="str">
        <x:v>Biomedical &amp; Health</x:v>
      </x:c>
      <x:c r="G32" s="13" t="str">
        <x:v>Biological sciences; biotechnology; chemistry; biomedical and related STEM</x:v>
      </x:c>
      <x:c r="H32" s="13" t="str">
        <x:v>Cambridge</x:v>
      </x:c>
      <x:c r="I32" s="13" t="str">
        <x:v>MA</x:v>
      </x:c>
      <x:c r="J32" s="13" t="str">
        <x:v>USA</x:v>
      </x:c>
      <x:c r="K32" s="13" t="str">
        <x:v>Harvard University</x:v>
      </x:c>
      <x:c r="L32" s="13" t="str">
        <x:v>In person</x:v>
      </x:c>
      <x:c r="M32" s="13" t="str">
        <x:v>Yes</x:v>
      </x:c>
      <x:c r="N32" s="13" t="str">
        <x:v>U.S. citizen or permanent resident</x:v>
      </x:c>
      <x:c r="O32" s="13" t="str">
        <x:v>Four-year college; sophomore/junior/non-graduating senior</x:v>
      </x:c>
      <x:c r="P32" s="40" t="n">
        <x:v>3.2</x:v>
      </x:c>
      <x:c r="Q32" s="40" t="n">
        <x:v>10</x:v>
      </x:c>
      <x:c r="R32" s="32" t="n">
        <x:v>46176</x:v>
      </x:c>
      <x:c r="S32" s="32" t="n">
        <x:v>46242</x:v>
      </x:c>
      <x:c r="T32" s="32"/>
      <x:c r="U32" s="32" t="n">
        <x:v>46054</x:v>
      </x:c>
      <x:c r="V32" s="13" t="str">
        <x:v>2026 deadline: Feb 1, 2026</x:v>
      </x:c>
      <x:c r="W32" s="13" t="n">
        <x:v>2026</x:v>
      </x:c>
      <x:c r="X32" s="13" t="str">
        <x:v>2026 closed; 2027 Amgen applications expected from Nov 1, 2026</x:v>
      </x:c>
      <x:c r="Y32" s="36"/>
      <x:c r="Z32" s="36"/>
      <x:c r="AA32" s="13" t="str">
        <x:v>Yes</x:v>
      </x:c>
      <x:c r="AB32" s="13" t="str">
        <x:v>Housing provided</x:v>
      </x:c>
      <x:c r="AC32" s="13" t="str">
        <x:v>Yes</x:v>
      </x:c>
      <x:c r="AD32" s="13" t="str">
        <x:v>Dining support provided</x:v>
      </x:c>
      <x:c r="AE32" s="13" t="str">
        <x:v>Yes</x:v>
      </x:c>
      <x:c r="AF32" s="13" t="str">
        <x:v>Travel allowance included</x:v>
      </x:c>
      <x:c r="AG32" s="13" t="str">
        <x:v>No</x:v>
      </x:c>
      <x:c r="AH32" s="13" t="str">
        <x:v>https://uraf.harvard.edu/amgen-scholars</x:v>
      </x:c>
      <x:c r="AI32" s="13" t="str">
        <x:v>https://uraf.harvard.edu/amgen-scholars</x:v>
      </x:c>
      <x:c r="AJ32" s="32" t="n">
        <x:v>46265</x:v>
      </x:c>
      <x:c r="AK32" s="13" t="str">
        <x:v>High</x:v>
      </x:c>
      <x:c r="AL32" s="13" t="str">
        <x:v>Stipend is provided, but the current page did not state a numeric amount.</x:v>
      </x:c>
    </x:row>
    <x:row r="33" ht="42" customHeight="1">
      <x:c r="A33" s="13" t="str">
        <x:v>HF-ECO</x:v>
      </x:c>
      <x:c r="B33" s="13" t="str">
        <x:v>Harvard Forest Summer Research Program in Ecology</x:v>
      </x:c>
      <x:c r="C33" s="13" t="str">
        <x:v>Harvard Forest / Harvard University</x:v>
      </x:c>
      <x:c r="D33" s="13" t="str">
        <x:v>University field-station program</x:v>
      </x:c>
      <x:c r="E33" s="13" t="str">
        <x:v>Summer research program</x:v>
      </x:c>
      <x:c r="F33" s="13" t="str">
        <x:v>Earth / Environment / Ocean</x:v>
      </x:c>
      <x:c r="G33" s="13" t="str">
        <x:v>Ecology; environmental science; forest science; global change; biogeochemistry; conservation; data science</x:v>
      </x:c>
      <x:c r="H33" s="13" t="str">
        <x:v>Petersham</x:v>
      </x:c>
      <x:c r="I33" s="13" t="str">
        <x:v>MA</x:v>
      </x:c>
      <x:c r="J33" s="13" t="str">
        <x:v>USA</x:v>
      </x:c>
      <x:c r="K33" s="13" t="str">
        <x:v>Harvard Forest</x:v>
      </x:c>
      <x:c r="L33" s="13" t="str">
        <x:v>In person</x:v>
      </x:c>
      <x:c r="M33" s="13" t="str">
        <x:v>Yes</x:v>
      </x:c>
      <x:c r="N33" s="13" t="str">
        <x:v>Primarily U.S. citizens/permanent residents; exceptions may require outside funding</x:v>
      </x:c>
      <x:c r="O33" s="13" t="str">
        <x:v>Undergraduates; see project-specific eligibility</x:v>
      </x:c>
      <x:c r="P33" s="40"/>
      <x:c r="Q33" s="40" t="n">
        <x:v>11</x:v>
      </x:c>
      <x:c r="R33" s="32" t="n">
        <x:v>46168</x:v>
      </x:c>
      <x:c r="S33" s="32" t="n">
        <x:v>46241</x:v>
      </x:c>
      <x:c r="T33" s="32" t="n">
        <x:v>46000</x:v>
      </x:c>
      <x:c r="U33" s="32" t="n">
        <x:v>46059</x:v>
      </x:c>
      <x:c r="V33" s="13" t="str">
        <x:v>2026 application: Dec 9, 2025–Feb 6, 2026; 2027 expected Dec 2026</x:v>
      </x:c>
      <x:c r="W33" s="13" t="n">
        <x:v>2026</x:v>
      </x:c>
      <x:c r="X33" s="13" t="str">
        <x:v>2026 closed; 2027 application expected Dec 2026</x:v>
      </x:c>
      <x:c r="Y33" s="36" t="n">
        <x:v>7700</x:v>
      </x:c>
      <x:c r="Z33" s="36" t="n">
        <x:v>700</x:v>
      </x:c>
      <x:c r="AA33" s="13" t="str">
        <x:v>Yes</x:v>
      </x:c>
      <x:c r="AB33" s="13" t="str">
        <x:v>Full room included</x:v>
      </x:c>
      <x:c r="AC33" s="13" t="str">
        <x:v>Yes</x:v>
      </x:c>
      <x:c r="AD33" s="13" t="str">
        <x:v>Full board included</x:v>
      </x:c>
      <x:c r="AE33" s="13" t="str">
        <x:v>Yes</x:v>
      </x:c>
      <x:c r="AF33" s="13" t="str">
        <x:v>Travel to/from Harvard Forest included</x:v>
      </x:c>
      <x:c r="AG33" s="13" t="str">
        <x:v>No</x:v>
      </x:c>
      <x:c r="AH33" s="13" t="str">
        <x:v>https://harvardforest.fas.harvard.edu/education-opportunities/undergraduate-students/summer-research-program/summer-research-program-information-for-students/</x:v>
      </x:c>
      <x:c r="AI33" s="13" t="str">
        <x:v>https://harvardforest.fas.harvard.edu/education-opportunities/undergraduate-students/summer-research-program/summer-research-program-information-for-students/</x:v>
      </x:c>
      <x:c r="AJ33" s="32" t="n">
        <x:v>46265</x:v>
      </x:c>
      <x:c r="AK33" s="13" t="str">
        <x:v>High</x:v>
      </x:c>
      <x:c r="AL33" s="13" t="str">
        <x:v>Field/environmental program with room, board, and travel included.</x:v>
      </x:c>
    </x:row>
    <x:row r="34" ht="42" customHeight="1">
      <x:c r="A34" s="13" t="str">
        <x:v>UCLA-RIPS</x:v>
      </x:c>
      <x:c r="B34" s="13" t="str">
        <x:v>Research in Industrial Projects for Students (RIPS-LA)</x:v>
      </x:c>
      <x:c r="C34" s="13" t="str">
        <x:v>UCLA Institute for Pure &amp; Applied Mathematics (IPAM)</x:v>
      </x:c>
      <x:c r="D34" s="13" t="str">
        <x:v>UCLA / IPAM</x:v>
      </x:c>
      <x:c r="E34" s="13" t="str">
        <x:v>Industrial mathematics research program</x:v>
      </x:c>
      <x:c r="F34" s="13" t="str">
        <x:v>Mathematics &amp; Statistics</x:v>
      </x:c>
      <x:c r="G34" s="13" t="str">
        <x:v>Applied mathematics; data science; computing; optimization; statistics; industry research</x:v>
      </x:c>
      <x:c r="H34" s="13" t="str">
        <x:v>Los Angeles</x:v>
      </x:c>
      <x:c r="I34" s="13" t="str">
        <x:v>CA</x:v>
      </x:c>
      <x:c r="J34" s="13" t="str">
        <x:v>USA</x:v>
      </x:c>
      <x:c r="K34" s="13" t="str">
        <x:v>UCLA / IPAM</x:v>
      </x:c>
      <x:c r="L34" s="13" t="str">
        <x:v>In person</x:v>
      </x:c>
      <x:c r="M34" s="13" t="str">
        <x:v>Yes</x:v>
      </x:c>
      <x:c r="N34" s="13" t="str">
        <x:v>Foreign students may be eligible if studying in the U.S.; verify current cycle</x:v>
      </x:c>
      <x:c r="O34" s="13" t="str">
        <x:v>Undergraduates; graduating seniors may be eligible</x:v>
      </x:c>
      <x:c r="P34" s="40"/>
      <x:c r="Q34" s="40" t="n">
        <x:v>8.5</x:v>
      </x:c>
      <x:c r="R34" s="32" t="n">
        <x:v>46195</x:v>
      </x:c>
      <x:c r="S34" s="32" t="n">
        <x:v>46255</x:v>
      </x:c>
      <x:c r="T34" s="32"/>
      <x:c r="U34" s="32" t="n">
        <x:v>46063</x:v>
      </x:c>
      <x:c r="V34" s="13" t="str">
        <x:v>2026 deadline: Feb 10, 2026</x:v>
      </x:c>
      <x:c r="W34" s="13" t="n">
        <x:v>2026</x:v>
      </x:c>
      <x:c r="X34" s="13" t="str">
        <x:v>2026 closed; monitor for 2027</x:v>
      </x:c>
      <x:c r="Y34" s="36"/>
      <x:c r="Z34" s="36"/>
      <x:c r="AA34" s="13" t="str">
        <x:v>Yes</x:v>
      </x:c>
      <x:c r="AB34" s="13" t="str">
        <x:v>Housing provided</x:v>
      </x:c>
      <x:c r="AC34" s="13" t="str">
        <x:v>Yes</x:v>
      </x:c>
      <x:c r="AD34" s="13" t="str">
        <x:v>Meals provided/support included</x:v>
      </x:c>
      <x:c r="AE34" s="13" t="str">
        <x:v>Yes</x:v>
      </x:c>
      <x:c r="AF34" s="13" t="str">
        <x:v>Travel allowance included</x:v>
      </x:c>
      <x:c r="AG34" s="13" t="str">
        <x:v>No</x:v>
      </x:c>
      <x:c r="AH34" s="13" t="str">
        <x:v>https://www.ipam.ucla.edu/programs/student-research-programs/research-in-industrial-projects-for-students-rips-2026-los-angeles/</x:v>
      </x:c>
      <x:c r="AI34" s="13" t="str">
        <x:v>https://www.ipam.ucla.edu/programs/student-research-programs/research-in-industrial-projects-for-students-rips-2026-los-angeles/</x:v>
      </x:c>
      <x:c r="AJ34" s="32" t="n">
        <x:v>46265</x:v>
      </x:c>
      <x:c r="AK34" s="13" t="str">
        <x:v>High</x:v>
      </x:c>
      <x:c r="AL34" s="13" t="str">
        <x:v>Team-based, sponsor-driven projects; useful category outside traditional wet-lab REUs.</x:v>
      </x:c>
    </x:row>
    <x:row r="35" ht="42" customHeight="1">
      <x:c r="A35" s="13" t="str">
        <x:v>DIMACS-REU</x:v>
      </x:c>
      <x:c r="B35" s="13" t="str">
        <x:v>DIMACS REU</x:v>
      </x:c>
      <x:c r="C35" s="13" t="str">
        <x:v>Rutgers University / DIMACS</x:v>
      </x:c>
      <x:c r="D35" s="13" t="str">
        <x:v>NSF REU / DIMACS</x:v>
      </x:c>
      <x:c r="E35" s="13" t="str">
        <x:v>NSF REU</x:v>
      </x:c>
      <x:c r="F35" s="13" t="str">
        <x:v>Computer Science / Data / AI</x:v>
      </x:c>
      <x:c r="G35" s="13" t="str">
        <x:v>Computer science; discrete mathematics; graph theory; algorithms; data science; AI; bioinformatics</x:v>
      </x:c>
      <x:c r="H35" s="13" t="str">
        <x:v>Piscataway / New Brunswick</x:v>
      </x:c>
      <x:c r="I35" s="13" t="str">
        <x:v>NJ</x:v>
      </x:c>
      <x:c r="J35" s="13" t="str">
        <x:v>USA</x:v>
      </x:c>
      <x:c r="K35" s="13" t="str">
        <x:v>Rutgers / DIMACS</x:v>
      </x:c>
      <x:c r="L35" s="13" t="str">
        <x:v>In person</x:v>
      </x:c>
      <x:c r="M35" s="13" t="str">
        <x:v>Yes</x:v>
      </x:c>
      <x:c r="N35" s="13" t="str">
        <x:v>U.S. citizen or permanent resident</x:v>
      </x:c>
      <x:c r="O35" s="13" t="str">
        <x:v>Undergraduates; current REU eligibility rules apply</x:v>
      </x:c>
      <x:c r="P35" s="40"/>
      <x:c r="Q35" s="40" t="n">
        <x:v>9</x:v>
      </x:c>
      <x:c r="R35" s="32" t="n">
        <x:v>46168</x:v>
      </x:c>
      <x:c r="S35" s="32" t="n">
        <x:v>46227</x:v>
      </x:c>
      <x:c r="T35" s="32"/>
      <x:c r="U35" s="32" t="n">
        <x:v>46053</x:v>
      </x:c>
      <x:c r="V35" s="13" t="str">
        <x:v>2026 deadline: Jan 31, 2026</x:v>
      </x:c>
      <x:c r="W35" s="13" t="n">
        <x:v>2026</x:v>
      </x:c>
      <x:c r="X35" s="13" t="str">
        <x:v>2026 closed; monitor for 2027</x:v>
      </x:c>
      <x:c r="Y35" s="36" t="n">
        <x:v>6300</x:v>
      </x:c>
      <x:c r="Z35" s="36" t="n">
        <x:v>700</x:v>
      </x:c>
      <x:c r="AA35" s="13" t="str">
        <x:v>Yes</x:v>
      </x:c>
      <x:c r="AB35" s="13" t="str">
        <x:v>Housing included</x:v>
      </x:c>
      <x:c r="AC35" s="13" t="str">
        <x:v>Allowance</x:v>
      </x:c>
      <x:c r="AD35" s="13" t="str">
        <x:v>Meal allowance included</x:v>
      </x:c>
      <x:c r="AE35" s="13" t="str">
        <x:v>Yes</x:v>
      </x:c>
      <x:c r="AF35" s="13" t="str">
        <x:v>Travel support included</x:v>
      </x:c>
      <x:c r="AG35" s="13" t="str">
        <x:v>No</x:v>
      </x:c>
      <x:c r="AH35" s="13" t="str">
        <x:v>https://reu.dimacs.rutgers.edu/</x:v>
      </x:c>
      <x:c r="AI35" s="13" t="str">
        <x:v>https://reu.dimacs.rutgers.edu/</x:v>
      </x:c>
      <x:c r="AJ35" s="32" t="n">
        <x:v>46265</x:v>
      </x:c>
      <x:c r="AK35" s="13" t="str">
        <x:v>High</x:v>
      </x:c>
      <x:c r="AL35" s="13" t="str">
        <x:v>2026 flyer specified $700/week for 9 weeks plus housing, meal allowance, and travel.</x:v>
      </x:c>
    </x:row>
    <x:row r="36" ht="42" customHeight="1">
      <x:c r="A36" s="13" t="str">
        <x:v>GT-QBIOS</x:v>
      </x:c>
      <x:c r="B36" s="13" t="str">
        <x:v>Quantitative Biosciences Undergraduate Summer Research Experience (QBioS REU)</x:v>
      </x:c>
      <x:c r="C36" s="13" t="str">
        <x:v>Georgia Institute of Technology</x:v>
      </x:c>
      <x:c r="D36" s="13" t="str">
        <x:v>NSF REU / Georgia Tech</x:v>
      </x:c>
      <x:c r="E36" s="13" t="str">
        <x:v>NSF REU</x:v>
      </x:c>
      <x:c r="F36" s="13" t="str">
        <x:v>Interdisciplinary STEM</x:v>
      </x:c>
      <x:c r="G36" s="13" t="str">
        <x:v>Quantitative biosciences; biology; physics; mathematics; computation; data; biophysics</x:v>
      </x:c>
      <x:c r="H36" s="13" t="str">
        <x:v>Atlanta</x:v>
      </x:c>
      <x:c r="I36" s="13" t="str">
        <x:v>GA</x:v>
      </x:c>
      <x:c r="J36" s="13" t="str">
        <x:v>USA</x:v>
      </x:c>
      <x:c r="K36" s="13" t="str">
        <x:v>Georgia Tech</x:v>
      </x:c>
      <x:c r="L36" s="13" t="str">
        <x:v>In person</x:v>
      </x:c>
      <x:c r="M36" s="13" t="str">
        <x:v>Yes</x:v>
      </x:c>
      <x:c r="N36" s="13" t="str">
        <x:v>U.S. citizen or permanent resident</x:v>
      </x:c>
      <x:c r="O36" s="13" t="str">
        <x:v>Undergraduates enrolled at U.S. institutions; see current cycle</x:v>
      </x:c>
      <x:c r="P36" s="40"/>
      <x:c r="Q36" s="40" t="n">
        <x:v>10</x:v>
      </x:c>
      <x:c r="R36" s="32"/>
      <x:c r="S36" s="32"/>
      <x:c r="T36" s="32"/>
      <x:c r="U36" s="32"/>
      <x:c r="V36" s="13" t="str">
        <x:v>Current page does not fully specify next-cycle deadline; Georgia Tech REUs often close around mid-Feb</x:v>
      </x:c>
      <x:c r="W36" s="13" t="n">
        <x:v>2026</x:v>
      </x:c>
      <x:c r="X36" s="13" t="str">
        <x:v>Program active; next-cycle dates/deadline require update</x:v>
      </x:c>
      <x:c r="Y36" s="36" t="n">
        <x:v>5000</x:v>
      </x:c>
      <x:c r="Z36" s="36" t="n">
        <x:v>500</x:v>
      </x:c>
      <x:c r="AA36" s="13" t="str">
        <x:v>Yes</x:v>
      </x:c>
      <x:c r="AB36" s="13" t="str">
        <x:v>Apartment housing provided</x:v>
      </x:c>
      <x:c r="AC36" s="13" t="str">
        <x:v>No</x:v>
      </x:c>
      <x:c r="AD36" s="13" t="str">
        <x:v>Not listed as a provided meal plan</x:v>
      </x:c>
      <x:c r="AE36" s="13" t="str">
        <x:v>Yes</x:v>
      </x:c>
      <x:c r="AF36" s="13" t="str">
        <x:v>Travel allowance provided</x:v>
      </x:c>
      <x:c r="AG36" s="13" t="str">
        <x:v>No</x:v>
      </x:c>
      <x:c r="AH36" s="13" t="str">
        <x:v>https://cos.gatech.edu/qbiosreu</x:v>
      </x:c>
      <x:c r="AI36" s="13" t="str">
        <x:v>https://cos.gatech.edu/qbiosreu</x:v>
      </x:c>
      <x:c r="AJ36" s="32" t="n">
        <x:v>46265</x:v>
      </x:c>
      <x:c r="AK36" s="13" t="str">
        <x:v>Medium-High</x:v>
      </x:c>
      <x:c r="AL36" s="13" t="str">
        <x:v>Cross-disciplinary biology/physics/math/computation program.</x:v>
      </x:c>
    </x:row>
    <x:row r="37">
      <x:c r="P37" s="41"/>
      <x:c r="Q37" s="41"/>
      <x:c r="R37" s="33"/>
      <x:c r="S37" s="33"/>
      <x:c r="T37" s="33"/>
      <x:c r="U37" s="33"/>
      <x:c r="Y37" s="37"/>
      <x:c r="Z37" s="37"/>
      <x:c r="AJ37" s="33"/>
    </x:row>
    <x:row r="38">
      <x:c r="P38" s="41"/>
      <x:c r="Q38" s="41"/>
      <x:c r="R38" s="33"/>
      <x:c r="S38" s="33"/>
      <x:c r="T38" s="33"/>
      <x:c r="U38" s="33"/>
      <x:c r="Y38" s="37"/>
      <x:c r="Z38" s="37"/>
      <x:c r="AJ38" s="33"/>
    </x:row>
    <x:row r="39">
      <x:c r="P39" s="41"/>
      <x:c r="Q39" s="41"/>
      <x:c r="R39" s="33"/>
      <x:c r="S39" s="33"/>
      <x:c r="T39" s="33"/>
      <x:c r="U39" s="33"/>
      <x:c r="Y39" s="37"/>
      <x:c r="Z39" s="37"/>
      <x:c r="AJ39" s="33"/>
    </x:row>
    <x:row r="40">
      <x:c r="P40" s="41"/>
      <x:c r="Q40" s="41"/>
      <x:c r="R40" s="33"/>
      <x:c r="S40" s="33"/>
      <x:c r="T40" s="33"/>
      <x:c r="U40" s="33"/>
      <x:c r="Y40" s="37"/>
      <x:c r="Z40" s="37"/>
      <x:c r="AJ40" s="33"/>
    </x:row>
    <x:row r="41">
      <x:c r="P41" s="41"/>
      <x:c r="Q41" s="41"/>
      <x:c r="R41" s="33"/>
      <x:c r="S41" s="33"/>
      <x:c r="T41" s="33"/>
      <x:c r="U41" s="33"/>
      <x:c r="Y41" s="37"/>
      <x:c r="Z41" s="37"/>
      <x:c r="AJ41" s="33"/>
    </x:row>
    <x:row r="42">
      <x:c r="P42" s="41"/>
      <x:c r="Q42" s="41"/>
      <x:c r="R42" s="33"/>
      <x:c r="S42" s="33"/>
      <x:c r="T42" s="33"/>
      <x:c r="U42" s="33"/>
      <x:c r="Y42" s="37"/>
      <x:c r="Z42" s="37"/>
      <x:c r="AJ42" s="33"/>
    </x:row>
    <x:row r="43">
      <x:c r="P43" s="41"/>
      <x:c r="Q43" s="41"/>
      <x:c r="R43" s="33"/>
      <x:c r="S43" s="33"/>
      <x:c r="T43" s="33"/>
      <x:c r="U43" s="33"/>
      <x:c r="Y43" s="37"/>
      <x:c r="Z43" s="37"/>
      <x:c r="AJ43" s="33"/>
    </x:row>
    <x:row r="44">
      <x:c r="P44" s="41"/>
      <x:c r="Q44" s="41"/>
      <x:c r="R44" s="33"/>
      <x:c r="S44" s="33"/>
      <x:c r="T44" s="33"/>
      <x:c r="U44" s="33"/>
      <x:c r="Y44" s="37"/>
      <x:c r="Z44" s="37"/>
      <x:c r="AJ44" s="33"/>
    </x:row>
    <x:row r="45">
      <x:c r="P45" s="41"/>
      <x:c r="Q45" s="41"/>
      <x:c r="R45" s="33"/>
      <x:c r="S45" s="33"/>
      <x:c r="T45" s="33"/>
      <x:c r="U45" s="33"/>
      <x:c r="Y45" s="37"/>
      <x:c r="Z45" s="37"/>
      <x:c r="AJ45" s="33"/>
    </x:row>
    <x:row r="46">
      <x:c r="P46" s="41"/>
      <x:c r="Q46" s="41"/>
      <x:c r="R46" s="33"/>
      <x:c r="S46" s="33"/>
      <x:c r="T46" s="33"/>
      <x:c r="U46" s="33"/>
      <x:c r="Y46" s="37"/>
      <x:c r="Z46" s="37"/>
      <x:c r="AJ46" s="33"/>
    </x:row>
    <x:row r="47">
      <x:c r="P47" s="41"/>
      <x:c r="Q47" s="41"/>
      <x:c r="R47" s="33"/>
      <x:c r="S47" s="33"/>
      <x:c r="T47" s="33"/>
      <x:c r="U47" s="33"/>
      <x:c r="Y47" s="37"/>
      <x:c r="Z47" s="37"/>
      <x:c r="AJ47" s="33"/>
    </x:row>
    <x:row r="48">
      <x:c r="P48" s="41"/>
      <x:c r="Q48" s="41"/>
      <x:c r="R48" s="33"/>
      <x:c r="S48" s="33"/>
      <x:c r="T48" s="33"/>
      <x:c r="U48" s="33"/>
      <x:c r="Y48" s="37"/>
      <x:c r="Z48" s="37"/>
      <x:c r="AJ48" s="33"/>
    </x:row>
    <x:row r="49">
      <x:c r="P49" s="41"/>
      <x:c r="Q49" s="41"/>
      <x:c r="R49" s="33"/>
      <x:c r="S49" s="33"/>
      <x:c r="T49" s="33"/>
      <x:c r="U49" s="33"/>
      <x:c r="Y49" s="37"/>
      <x:c r="Z49" s="37"/>
      <x:c r="AJ49" s="33"/>
    </x:row>
    <x:row r="50">
      <x:c r="P50" s="41"/>
      <x:c r="Q50" s="41"/>
      <x:c r="R50" s="33"/>
      <x:c r="S50" s="33"/>
      <x:c r="T50" s="33"/>
      <x:c r="U50" s="33"/>
      <x:c r="Y50" s="37"/>
      <x:c r="Z50" s="37"/>
      <x:c r="AJ50" s="33"/>
    </x:row>
    <x:row r="51">
      <x:c r="P51" s="41"/>
      <x:c r="Q51" s="41"/>
      <x:c r="R51" s="33"/>
      <x:c r="S51" s="33"/>
      <x:c r="T51" s="33"/>
      <x:c r="U51" s="33"/>
      <x:c r="Y51" s="37"/>
      <x:c r="Z51" s="37"/>
      <x:c r="AJ51" s="33"/>
    </x:row>
    <x:row r="52">
      <x:c r="P52" s="41"/>
      <x:c r="Q52" s="41"/>
      <x:c r="R52" s="33"/>
      <x:c r="S52" s="33"/>
      <x:c r="T52" s="33"/>
      <x:c r="U52" s="33"/>
      <x:c r="Y52" s="37"/>
      <x:c r="Z52" s="37"/>
      <x:c r="AJ52" s="33"/>
    </x:row>
    <x:row r="53">
      <x:c r="P53" s="41"/>
      <x:c r="Q53" s="41"/>
      <x:c r="R53" s="33"/>
      <x:c r="S53" s="33"/>
      <x:c r="T53" s="33"/>
      <x:c r="U53" s="33"/>
      <x:c r="Y53" s="37"/>
      <x:c r="Z53" s="37"/>
      <x:c r="AJ53" s="33"/>
    </x:row>
    <x:row r="54">
      <x:c r="P54" s="41"/>
      <x:c r="Q54" s="41"/>
      <x:c r="R54" s="33"/>
      <x:c r="S54" s="33"/>
      <x:c r="T54" s="33"/>
      <x:c r="U54" s="33"/>
      <x:c r="Y54" s="37"/>
      <x:c r="Z54" s="37"/>
      <x:c r="AJ54" s="33"/>
    </x:row>
    <x:row r="55">
      <x:c r="P55" s="41"/>
      <x:c r="Q55" s="41"/>
      <x:c r="R55" s="33"/>
      <x:c r="S55" s="33"/>
      <x:c r="T55" s="33"/>
      <x:c r="U55" s="33"/>
      <x:c r="Y55" s="37"/>
      <x:c r="Z55" s="37"/>
      <x:c r="AJ55" s="33"/>
    </x:row>
    <x:row r="56">
      <x:c r="P56" s="41"/>
      <x:c r="Q56" s="41"/>
      <x:c r="R56" s="33"/>
      <x:c r="S56" s="33"/>
      <x:c r="T56" s="33"/>
      <x:c r="U56" s="33"/>
      <x:c r="Y56" s="37"/>
      <x:c r="Z56" s="37"/>
      <x:c r="AJ56" s="33"/>
    </x:row>
    <x:row r="57">
      <x:c r="P57" s="41"/>
      <x:c r="Q57" s="41"/>
      <x:c r="R57" s="33"/>
      <x:c r="S57" s="33"/>
      <x:c r="T57" s="33"/>
      <x:c r="U57" s="33"/>
      <x:c r="Y57" s="37"/>
      <x:c r="Z57" s="37"/>
      <x:c r="AJ57" s="33"/>
    </x:row>
    <x:row r="58">
      <x:c r="P58" s="41"/>
      <x:c r="Q58" s="41"/>
      <x:c r="R58" s="33"/>
      <x:c r="S58" s="33"/>
      <x:c r="T58" s="33"/>
      <x:c r="U58" s="33"/>
      <x:c r="Y58" s="37"/>
      <x:c r="Z58" s="37"/>
      <x:c r="AJ58" s="33"/>
    </x:row>
    <x:row r="59">
      <x:c r="P59" s="41"/>
      <x:c r="Q59" s="41"/>
      <x:c r="R59" s="33"/>
      <x:c r="S59" s="33"/>
      <x:c r="T59" s="33"/>
      <x:c r="U59" s="33"/>
      <x:c r="Y59" s="37"/>
      <x:c r="Z59" s="37"/>
      <x:c r="AJ59" s="33"/>
    </x:row>
    <x:row r="60">
      <x:c r="P60" s="41"/>
      <x:c r="Q60" s="41"/>
      <x:c r="R60" s="33"/>
      <x:c r="S60" s="33"/>
      <x:c r="T60" s="33"/>
      <x:c r="U60" s="33"/>
      <x:c r="Y60" s="37"/>
      <x:c r="Z60" s="37"/>
      <x:c r="AJ60" s="33"/>
    </x:row>
    <x:row r="61">
      <x:c r="P61" s="41"/>
      <x:c r="Q61" s="41"/>
      <x:c r="R61" s="33"/>
      <x:c r="S61" s="33"/>
      <x:c r="T61" s="33"/>
      <x:c r="U61" s="33"/>
      <x:c r="Y61" s="37"/>
      <x:c r="Z61" s="37"/>
      <x:c r="AJ61" s="33"/>
    </x:row>
    <x:row r="62">
      <x:c r="P62" s="41"/>
      <x:c r="Q62" s="41"/>
      <x:c r="R62" s="33"/>
      <x:c r="S62" s="33"/>
      <x:c r="T62" s="33"/>
      <x:c r="U62" s="33"/>
      <x:c r="Y62" s="37"/>
      <x:c r="Z62" s="37"/>
      <x:c r="AJ62" s="33"/>
    </x:row>
    <x:row r="63">
      <x:c r="P63" s="41"/>
      <x:c r="Q63" s="41"/>
      <x:c r="R63" s="33"/>
      <x:c r="S63" s="33"/>
      <x:c r="T63" s="33"/>
      <x:c r="U63" s="33"/>
      <x:c r="Y63" s="37"/>
      <x:c r="Z63" s="37"/>
      <x:c r="AJ63" s="33"/>
    </x:row>
    <x:row r="64">
      <x:c r="P64" s="41"/>
      <x:c r="Q64" s="41"/>
      <x:c r="R64" s="33"/>
      <x:c r="S64" s="33"/>
      <x:c r="T64" s="33"/>
      <x:c r="U64" s="33"/>
      <x:c r="Y64" s="37"/>
      <x:c r="Z64" s="37"/>
      <x:c r="AJ64" s="33"/>
    </x:row>
    <x:row r="65">
      <x:c r="P65" s="41"/>
      <x:c r="Q65" s="41"/>
      <x:c r="R65" s="33"/>
      <x:c r="S65" s="33"/>
      <x:c r="T65" s="33"/>
      <x:c r="U65" s="33"/>
      <x:c r="Y65" s="37"/>
      <x:c r="Z65" s="37"/>
      <x:c r="AJ65" s="33"/>
    </x:row>
    <x:row r="66">
      <x:c r="P66" s="41"/>
      <x:c r="Q66" s="41"/>
      <x:c r="R66" s="33"/>
      <x:c r="S66" s="33"/>
      <x:c r="T66" s="33"/>
      <x:c r="U66" s="33"/>
      <x:c r="Y66" s="37"/>
      <x:c r="Z66" s="37"/>
      <x:c r="AJ66" s="33"/>
    </x:row>
    <x:row r="67">
      <x:c r="P67" s="41"/>
      <x:c r="Q67" s="41"/>
      <x:c r="R67" s="33"/>
      <x:c r="S67" s="33"/>
      <x:c r="T67" s="33"/>
      <x:c r="U67" s="33"/>
      <x:c r="Y67" s="37"/>
      <x:c r="Z67" s="37"/>
      <x:c r="AJ67" s="33"/>
    </x:row>
    <x:row r="68">
      <x:c r="P68" s="41"/>
      <x:c r="Q68" s="41"/>
      <x:c r="R68" s="33"/>
      <x:c r="S68" s="33"/>
      <x:c r="T68" s="33"/>
      <x:c r="U68" s="33"/>
      <x:c r="Y68" s="37"/>
      <x:c r="Z68" s="37"/>
      <x:c r="AJ68" s="33"/>
    </x:row>
    <x:row r="69">
      <x:c r="P69" s="41"/>
      <x:c r="Q69" s="41"/>
      <x:c r="R69" s="33"/>
      <x:c r="S69" s="33"/>
      <x:c r="T69" s="33"/>
      <x:c r="U69" s="33"/>
      <x:c r="Y69" s="37"/>
      <x:c r="Z69" s="37"/>
      <x:c r="AJ69" s="33"/>
    </x:row>
    <x:row r="70">
      <x:c r="P70" s="41"/>
      <x:c r="Q70" s="41"/>
      <x:c r="R70" s="33"/>
      <x:c r="S70" s="33"/>
      <x:c r="T70" s="33"/>
      <x:c r="U70" s="33"/>
      <x:c r="Y70" s="37"/>
      <x:c r="Z70" s="37"/>
      <x:c r="AJ70" s="33"/>
    </x:row>
    <x:row r="71">
      <x:c r="P71" s="41"/>
      <x:c r="Q71" s="41"/>
      <x:c r="R71" s="33"/>
      <x:c r="S71" s="33"/>
      <x:c r="T71" s="33"/>
      <x:c r="U71" s="33"/>
      <x:c r="Y71" s="37"/>
      <x:c r="Z71" s="37"/>
      <x:c r="AJ71" s="33"/>
    </x:row>
    <x:row r="72">
      <x:c r="P72" s="41"/>
      <x:c r="Q72" s="41"/>
      <x:c r="R72" s="33"/>
      <x:c r="S72" s="33"/>
      <x:c r="T72" s="33"/>
      <x:c r="U72" s="33"/>
      <x:c r="Y72" s="37"/>
      <x:c r="Z72" s="37"/>
      <x:c r="AJ72" s="33"/>
    </x:row>
    <x:row r="73">
      <x:c r="P73" s="41"/>
      <x:c r="Q73" s="41"/>
      <x:c r="R73" s="33"/>
      <x:c r="S73" s="33"/>
      <x:c r="T73" s="33"/>
      <x:c r="U73" s="33"/>
      <x:c r="Y73" s="37"/>
      <x:c r="Z73" s="37"/>
      <x:c r="AJ73" s="33"/>
    </x:row>
    <x:row r="74">
      <x:c r="P74" s="41"/>
      <x:c r="Q74" s="41"/>
      <x:c r="R74" s="33"/>
      <x:c r="S74" s="33"/>
      <x:c r="T74" s="33"/>
      <x:c r="U74" s="33"/>
      <x:c r="Y74" s="37"/>
      <x:c r="Z74" s="37"/>
      <x:c r="AJ74" s="33"/>
    </x:row>
    <x:row r="75">
      <x:c r="P75" s="41"/>
      <x:c r="Q75" s="41"/>
      <x:c r="R75" s="33"/>
      <x:c r="S75" s="33"/>
      <x:c r="T75" s="33"/>
      <x:c r="U75" s="33"/>
      <x:c r="Y75" s="37"/>
      <x:c r="Z75" s="37"/>
      <x:c r="AJ75" s="33"/>
    </x:row>
    <x:row r="76">
      <x:c r="P76" s="41"/>
      <x:c r="Q76" s="41"/>
      <x:c r="R76" s="33"/>
      <x:c r="S76" s="33"/>
      <x:c r="T76" s="33"/>
      <x:c r="U76" s="33"/>
      <x:c r="Y76" s="37"/>
      <x:c r="Z76" s="37"/>
      <x:c r="AJ76" s="33"/>
    </x:row>
    <x:row r="77">
      <x:c r="P77" s="41"/>
      <x:c r="Q77" s="41"/>
      <x:c r="R77" s="33"/>
      <x:c r="S77" s="33"/>
      <x:c r="T77" s="33"/>
      <x:c r="U77" s="33"/>
      <x:c r="Y77" s="37"/>
      <x:c r="Z77" s="37"/>
      <x:c r="AJ77" s="33"/>
    </x:row>
    <x:row r="78">
      <x:c r="P78" s="41"/>
      <x:c r="Q78" s="41"/>
      <x:c r="R78" s="33"/>
      <x:c r="S78" s="33"/>
      <x:c r="T78" s="33"/>
      <x:c r="U78" s="33"/>
      <x:c r="Y78" s="37"/>
      <x:c r="Z78" s="37"/>
      <x:c r="AJ78" s="33"/>
    </x:row>
    <x:row r="79">
      <x:c r="P79" s="41"/>
      <x:c r="Q79" s="41"/>
      <x:c r="R79" s="33"/>
      <x:c r="S79" s="33"/>
      <x:c r="T79" s="33"/>
      <x:c r="U79" s="33"/>
      <x:c r="Y79" s="37"/>
      <x:c r="Z79" s="37"/>
      <x:c r="AJ79" s="33"/>
    </x:row>
    <x:row r="80">
      <x:c r="P80" s="41"/>
      <x:c r="Q80" s="41"/>
      <x:c r="R80" s="33"/>
      <x:c r="S80" s="33"/>
      <x:c r="T80" s="33"/>
      <x:c r="U80" s="33"/>
      <x:c r="Y80" s="37"/>
      <x:c r="Z80" s="37"/>
      <x:c r="AJ80" s="33"/>
    </x:row>
    <x:row r="81">
      <x:c r="P81" s="41"/>
      <x:c r="Q81" s="41"/>
      <x:c r="R81" s="33"/>
      <x:c r="S81" s="33"/>
      <x:c r="T81" s="33"/>
      <x:c r="U81" s="33"/>
      <x:c r="Y81" s="37"/>
      <x:c r="Z81" s="37"/>
      <x:c r="AJ81" s="33"/>
    </x:row>
    <x:row r="82">
      <x:c r="P82" s="41"/>
      <x:c r="Q82" s="41"/>
      <x:c r="R82" s="33"/>
      <x:c r="S82" s="33"/>
      <x:c r="T82" s="33"/>
      <x:c r="U82" s="33"/>
      <x:c r="Y82" s="37"/>
      <x:c r="Z82" s="37"/>
      <x:c r="AJ82" s="33"/>
    </x:row>
    <x:row r="83">
      <x:c r="P83" s="41"/>
      <x:c r="Q83" s="41"/>
      <x:c r="R83" s="33"/>
      <x:c r="S83" s="33"/>
      <x:c r="T83" s="33"/>
      <x:c r="U83" s="33"/>
      <x:c r="Y83" s="37"/>
      <x:c r="Z83" s="37"/>
      <x:c r="AJ83" s="33"/>
    </x:row>
    <x:row r="84">
      <x:c r="P84" s="41"/>
      <x:c r="Q84" s="41"/>
      <x:c r="R84" s="33"/>
      <x:c r="S84" s="33"/>
      <x:c r="T84" s="33"/>
      <x:c r="U84" s="33"/>
      <x:c r="Y84" s="37"/>
      <x:c r="Z84" s="37"/>
      <x:c r="AJ84" s="33"/>
    </x:row>
    <x:row r="85">
      <x:c r="P85" s="41"/>
      <x:c r="Q85" s="41"/>
      <x:c r="R85" s="33"/>
      <x:c r="S85" s="33"/>
      <x:c r="T85" s="33"/>
      <x:c r="U85" s="33"/>
      <x:c r="Y85" s="37"/>
      <x:c r="Z85" s="37"/>
      <x:c r="AJ85" s="33"/>
    </x:row>
    <x:row r="86">
      <x:c r="P86" s="41"/>
      <x:c r="Q86" s="41"/>
      <x:c r="R86" s="33"/>
      <x:c r="S86" s="33"/>
      <x:c r="T86" s="33"/>
      <x:c r="U86" s="33"/>
      <x:c r="Y86" s="37"/>
      <x:c r="Z86" s="37"/>
      <x:c r="AJ86" s="33"/>
    </x:row>
    <x:row r="87">
      <x:c r="P87" s="41"/>
      <x:c r="Q87" s="41"/>
      <x:c r="R87" s="33"/>
      <x:c r="S87" s="33"/>
      <x:c r="T87" s="33"/>
      <x:c r="U87" s="33"/>
      <x:c r="Y87" s="37"/>
      <x:c r="Z87" s="37"/>
      <x:c r="AJ87" s="33"/>
    </x:row>
    <x:row r="88">
      <x:c r="P88" s="41"/>
      <x:c r="Q88" s="41"/>
      <x:c r="R88" s="33"/>
      <x:c r="S88" s="33"/>
      <x:c r="T88" s="33"/>
      <x:c r="U88" s="33"/>
      <x:c r="Y88" s="37"/>
      <x:c r="Z88" s="37"/>
      <x:c r="AJ88" s="33"/>
    </x:row>
    <x:row r="89">
      <x:c r="P89" s="41"/>
      <x:c r="Q89" s="41"/>
      <x:c r="R89" s="33"/>
      <x:c r="S89" s="33"/>
      <x:c r="T89" s="33"/>
      <x:c r="U89" s="33"/>
      <x:c r="Y89" s="37"/>
      <x:c r="Z89" s="37"/>
      <x:c r="AJ89" s="33"/>
    </x:row>
    <x:row r="90">
      <x:c r="P90" s="41"/>
      <x:c r="Q90" s="41"/>
      <x:c r="R90" s="33"/>
      <x:c r="S90" s="33"/>
      <x:c r="T90" s="33"/>
      <x:c r="U90" s="33"/>
      <x:c r="Y90" s="37"/>
      <x:c r="Z90" s="37"/>
      <x:c r="AJ90" s="33"/>
    </x:row>
    <x:row r="91">
      <x:c r="P91" s="41"/>
      <x:c r="Q91" s="41"/>
      <x:c r="R91" s="33"/>
      <x:c r="S91" s="33"/>
      <x:c r="T91" s="33"/>
      <x:c r="U91" s="33"/>
      <x:c r="Y91" s="37"/>
      <x:c r="Z91" s="37"/>
      <x:c r="AJ91" s="33"/>
    </x:row>
    <x:row r="92">
      <x:c r="P92" s="41"/>
      <x:c r="Q92" s="41"/>
      <x:c r="R92" s="33"/>
      <x:c r="S92" s="33"/>
      <x:c r="T92" s="33"/>
      <x:c r="U92" s="33"/>
      <x:c r="Y92" s="37"/>
      <x:c r="Z92" s="37"/>
      <x:c r="AJ92" s="33"/>
    </x:row>
    <x:row r="93">
      <x:c r="P93" s="41"/>
      <x:c r="Q93" s="41"/>
      <x:c r="R93" s="33"/>
      <x:c r="S93" s="33"/>
      <x:c r="T93" s="33"/>
      <x:c r="U93" s="33"/>
      <x:c r="Y93" s="37"/>
      <x:c r="Z93" s="37"/>
      <x:c r="AJ93" s="33"/>
    </x:row>
    <x:row r="94">
      <x:c r="P94" s="41"/>
      <x:c r="Q94" s="41"/>
      <x:c r="R94" s="33"/>
      <x:c r="S94" s="33"/>
      <x:c r="T94" s="33"/>
      <x:c r="U94" s="33"/>
      <x:c r="Y94" s="37"/>
      <x:c r="Z94" s="37"/>
      <x:c r="AJ94" s="33"/>
    </x:row>
    <x:row r="95">
      <x:c r="P95" s="41"/>
      <x:c r="Q95" s="41"/>
      <x:c r="R95" s="33"/>
      <x:c r="S95" s="33"/>
      <x:c r="T95" s="33"/>
      <x:c r="U95" s="33"/>
      <x:c r="Y95" s="37"/>
      <x:c r="Z95" s="37"/>
      <x:c r="AJ95" s="33"/>
    </x:row>
    <x:row r="96">
      <x:c r="P96" s="41"/>
      <x:c r="Q96" s="41"/>
      <x:c r="R96" s="33"/>
      <x:c r="S96" s="33"/>
      <x:c r="T96" s="33"/>
      <x:c r="U96" s="33"/>
      <x:c r="Y96" s="37"/>
      <x:c r="Z96" s="37"/>
      <x:c r="AJ96" s="33"/>
    </x:row>
    <x:row r="97">
      <x:c r="P97" s="41"/>
      <x:c r="Q97" s="41"/>
      <x:c r="R97" s="33"/>
      <x:c r="S97" s="33"/>
      <x:c r="T97" s="33"/>
      <x:c r="U97" s="33"/>
      <x:c r="Y97" s="37"/>
      <x:c r="Z97" s="37"/>
      <x:c r="AJ97" s="33"/>
    </x:row>
    <x:row r="98">
      <x:c r="P98" s="41"/>
      <x:c r="Q98" s="41"/>
      <x:c r="R98" s="33"/>
      <x:c r="S98" s="33"/>
      <x:c r="T98" s="33"/>
      <x:c r="U98" s="33"/>
      <x:c r="Y98" s="37"/>
      <x:c r="Z98" s="37"/>
      <x:c r="AJ98" s="33"/>
    </x:row>
    <x:row r="99">
      <x:c r="P99" s="41"/>
      <x:c r="Q99" s="41"/>
      <x:c r="R99" s="33"/>
      <x:c r="S99" s="33"/>
      <x:c r="T99" s="33"/>
      <x:c r="U99" s="33"/>
      <x:c r="Y99" s="37"/>
      <x:c r="Z99" s="37"/>
      <x:c r="AJ99" s="33"/>
    </x:row>
    <x:row r="100">
      <x:c r="P100" s="41"/>
      <x:c r="Q100" s="41"/>
      <x:c r="R100" s="33"/>
      <x:c r="S100" s="33"/>
      <x:c r="T100" s="33"/>
      <x:c r="U100" s="33"/>
      <x:c r="Y100" s="37"/>
      <x:c r="Z100" s="37"/>
      <x:c r="AJ100" s="33"/>
    </x:row>
    <x:row r="101">
      <x:c r="P101" s="41"/>
      <x:c r="Q101" s="41"/>
      <x:c r="R101" s="33"/>
      <x:c r="S101" s="33"/>
      <x:c r="T101" s="33"/>
      <x:c r="U101" s="33"/>
      <x:c r="Y101" s="37"/>
      <x:c r="Z101" s="37"/>
      <x:c r="AJ101" s="33"/>
    </x:row>
    <x:row r="102">
      <x:c r="P102" s="41"/>
      <x:c r="Q102" s="41"/>
      <x:c r="R102" s="33"/>
      <x:c r="S102" s="33"/>
      <x:c r="T102" s="33"/>
      <x:c r="U102" s="33"/>
      <x:c r="Y102" s="37"/>
      <x:c r="Z102" s="37"/>
      <x:c r="AJ102" s="33"/>
    </x:row>
    <x:row r="103">
      <x:c r="P103" s="41"/>
      <x:c r="Q103" s="41"/>
      <x:c r="R103" s="33"/>
      <x:c r="S103" s="33"/>
      <x:c r="T103" s="33"/>
      <x:c r="U103" s="33"/>
      <x:c r="Y103" s="37"/>
      <x:c r="Z103" s="37"/>
      <x:c r="AJ103" s="33"/>
    </x:row>
    <x:row r="104">
      <x:c r="P104" s="41"/>
      <x:c r="Q104" s="41"/>
      <x:c r="R104" s="33"/>
      <x:c r="S104" s="33"/>
      <x:c r="T104" s="33"/>
      <x:c r="U104" s="33"/>
      <x:c r="Y104" s="37"/>
      <x:c r="Z104" s="37"/>
      <x:c r="AJ104" s="33"/>
    </x:row>
    <x:row r="105">
      <x:c r="P105" s="41"/>
      <x:c r="Q105" s="41"/>
      <x:c r="R105" s="33"/>
      <x:c r="S105" s="33"/>
      <x:c r="T105" s="33"/>
      <x:c r="U105" s="33"/>
      <x:c r="Y105" s="37"/>
      <x:c r="Z105" s="37"/>
      <x:c r="AJ105" s="33"/>
    </x:row>
    <x:row r="106">
      <x:c r="P106" s="41"/>
      <x:c r="Q106" s="41"/>
      <x:c r="R106" s="33"/>
      <x:c r="S106" s="33"/>
      <x:c r="T106" s="33"/>
      <x:c r="U106" s="33"/>
      <x:c r="Y106" s="37"/>
      <x:c r="Z106" s="37"/>
      <x:c r="AJ106" s="33"/>
    </x:row>
    <x:row r="107">
      <x:c r="P107" s="41"/>
      <x:c r="Q107" s="41"/>
      <x:c r="R107" s="33"/>
      <x:c r="S107" s="33"/>
      <x:c r="T107" s="33"/>
      <x:c r="U107" s="33"/>
      <x:c r="Y107" s="37"/>
      <x:c r="Z107" s="37"/>
      <x:c r="AJ107" s="33"/>
    </x:row>
    <x:row r="108">
      <x:c r="P108" s="41"/>
      <x:c r="Q108" s="41"/>
      <x:c r="R108" s="33"/>
      <x:c r="S108" s="33"/>
      <x:c r="T108" s="33"/>
      <x:c r="U108" s="33"/>
      <x:c r="Y108" s="37"/>
      <x:c r="Z108" s="37"/>
      <x:c r="AJ108" s="33"/>
    </x:row>
    <x:row r="109">
      <x:c r="P109" s="41"/>
      <x:c r="Q109" s="41"/>
      <x:c r="R109" s="33"/>
      <x:c r="S109" s="33"/>
      <x:c r="T109" s="33"/>
      <x:c r="U109" s="33"/>
      <x:c r="Y109" s="37"/>
      <x:c r="Z109" s="37"/>
      <x:c r="AJ109" s="33"/>
    </x:row>
    <x:row r="110">
      <x:c r="P110" s="41"/>
      <x:c r="Q110" s="41"/>
      <x:c r="R110" s="33"/>
      <x:c r="S110" s="33"/>
      <x:c r="T110" s="33"/>
      <x:c r="U110" s="33"/>
      <x:c r="Y110" s="37"/>
      <x:c r="Z110" s="37"/>
      <x:c r="AJ110" s="33"/>
    </x:row>
    <x:row r="111">
      <x:c r="P111" s="41"/>
      <x:c r="Q111" s="41"/>
      <x:c r="R111" s="33"/>
      <x:c r="S111" s="33"/>
      <x:c r="T111" s="33"/>
      <x:c r="U111" s="33"/>
      <x:c r="Y111" s="37"/>
      <x:c r="Z111" s="37"/>
      <x:c r="AJ111" s="33"/>
    </x:row>
    <x:row r="112">
      <x:c r="P112" s="41"/>
      <x:c r="Q112" s="41"/>
      <x:c r="R112" s="33"/>
      <x:c r="S112" s="33"/>
      <x:c r="T112" s="33"/>
      <x:c r="U112" s="33"/>
      <x:c r="Y112" s="37"/>
      <x:c r="Z112" s="37"/>
      <x:c r="AJ112" s="33"/>
    </x:row>
    <x:row r="113">
      <x:c r="P113" s="41"/>
      <x:c r="Q113" s="41"/>
      <x:c r="R113" s="33"/>
      <x:c r="S113" s="33"/>
      <x:c r="T113" s="33"/>
      <x:c r="U113" s="33"/>
      <x:c r="Y113" s="37"/>
      <x:c r="Z113" s="37"/>
      <x:c r="AJ113" s="33"/>
    </x:row>
    <x:row r="114">
      <x:c r="P114" s="41"/>
      <x:c r="Q114" s="41"/>
      <x:c r="R114" s="33"/>
      <x:c r="S114" s="33"/>
      <x:c r="T114" s="33"/>
      <x:c r="U114" s="33"/>
      <x:c r="Y114" s="37"/>
      <x:c r="Z114" s="37"/>
      <x:c r="AJ114" s="33"/>
    </x:row>
    <x:row r="115">
      <x:c r="P115" s="41"/>
      <x:c r="Q115" s="41"/>
      <x:c r="R115" s="33"/>
      <x:c r="S115" s="33"/>
      <x:c r="T115" s="33"/>
      <x:c r="U115" s="33"/>
      <x:c r="Y115" s="37"/>
      <x:c r="Z115" s="37"/>
      <x:c r="AJ115" s="33"/>
    </x:row>
    <x:row r="116">
      <x:c r="P116" s="41"/>
      <x:c r="Q116" s="41"/>
      <x:c r="R116" s="33"/>
      <x:c r="S116" s="33"/>
      <x:c r="T116" s="33"/>
      <x:c r="U116" s="33"/>
      <x:c r="Y116" s="37"/>
      <x:c r="Z116" s="37"/>
      <x:c r="AJ116" s="33"/>
    </x:row>
    <x:row r="117">
      <x:c r="P117" s="41"/>
      <x:c r="Q117" s="41"/>
      <x:c r="R117" s="33"/>
      <x:c r="S117" s="33"/>
      <x:c r="T117" s="33"/>
      <x:c r="U117" s="33"/>
      <x:c r="Y117" s="37"/>
      <x:c r="Z117" s="37"/>
      <x:c r="AJ117" s="33"/>
    </x:row>
    <x:row r="118">
      <x:c r="P118" s="41"/>
      <x:c r="Q118" s="41"/>
      <x:c r="R118" s="33"/>
      <x:c r="S118" s="33"/>
      <x:c r="T118" s="33"/>
      <x:c r="U118" s="33"/>
      <x:c r="Y118" s="37"/>
      <x:c r="Z118" s="37"/>
      <x:c r="AJ118" s="33"/>
    </x:row>
    <x:row r="119">
      <x:c r="P119" s="41"/>
      <x:c r="Q119" s="41"/>
      <x:c r="R119" s="33"/>
      <x:c r="S119" s="33"/>
      <x:c r="T119" s="33"/>
      <x:c r="U119" s="33"/>
      <x:c r="Y119" s="37"/>
      <x:c r="Z119" s="37"/>
      <x:c r="AJ119" s="33"/>
    </x:row>
    <x:row r="120">
      <x:c r="P120" s="41"/>
      <x:c r="Q120" s="41"/>
      <x:c r="R120" s="33"/>
      <x:c r="S120" s="33"/>
      <x:c r="T120" s="33"/>
      <x:c r="U120" s="33"/>
      <x:c r="Y120" s="37"/>
      <x:c r="Z120" s="37"/>
      <x:c r="AJ120" s="33"/>
    </x:row>
    <x:row r="121">
      <x:c r="P121" s="41"/>
      <x:c r="Q121" s="41"/>
      <x:c r="R121" s="33"/>
      <x:c r="S121" s="33"/>
      <x:c r="T121" s="33"/>
      <x:c r="U121" s="33"/>
      <x:c r="Y121" s="37"/>
      <x:c r="Z121" s="37"/>
      <x:c r="AJ121" s="33"/>
    </x:row>
    <x:row r="122">
      <x:c r="P122" s="41"/>
      <x:c r="Q122" s="41"/>
      <x:c r="R122" s="33"/>
      <x:c r="S122" s="33"/>
      <x:c r="T122" s="33"/>
      <x:c r="U122" s="33"/>
      <x:c r="Y122" s="37"/>
      <x:c r="Z122" s="37"/>
      <x:c r="AJ122" s="33"/>
    </x:row>
    <x:row r="123">
      <x:c r="P123" s="41"/>
      <x:c r="Q123" s="41"/>
      <x:c r="R123" s="33"/>
      <x:c r="S123" s="33"/>
      <x:c r="T123" s="33"/>
      <x:c r="U123" s="33"/>
      <x:c r="Y123" s="37"/>
      <x:c r="Z123" s="37"/>
      <x:c r="AJ123" s="33"/>
    </x:row>
    <x:row r="124">
      <x:c r="P124" s="41"/>
      <x:c r="Q124" s="41"/>
      <x:c r="R124" s="33"/>
      <x:c r="S124" s="33"/>
      <x:c r="T124" s="33"/>
      <x:c r="U124" s="33"/>
      <x:c r="Y124" s="37"/>
      <x:c r="Z124" s="37"/>
      <x:c r="AJ124" s="33"/>
    </x:row>
    <x:row r="125">
      <x:c r="P125" s="41"/>
      <x:c r="Q125" s="41"/>
      <x:c r="R125" s="33"/>
      <x:c r="S125" s="33"/>
      <x:c r="T125" s="33"/>
      <x:c r="U125" s="33"/>
      <x:c r="Y125" s="37"/>
      <x:c r="Z125" s="37"/>
      <x:c r="AJ125" s="33"/>
    </x:row>
    <x:row r="126">
      <x:c r="P126" s="41"/>
      <x:c r="Q126" s="41"/>
      <x:c r="R126" s="33"/>
      <x:c r="S126" s="33"/>
      <x:c r="T126" s="33"/>
      <x:c r="U126" s="33"/>
      <x:c r="Y126" s="37"/>
      <x:c r="Z126" s="37"/>
      <x:c r="AJ126" s="33"/>
    </x:row>
    <x:row r="127">
      <x:c r="P127" s="41"/>
      <x:c r="Q127" s="41"/>
      <x:c r="R127" s="33"/>
      <x:c r="S127" s="33"/>
      <x:c r="T127" s="33"/>
      <x:c r="U127" s="33"/>
      <x:c r="Y127" s="37"/>
      <x:c r="Z127" s="37"/>
      <x:c r="AJ127" s="33"/>
    </x:row>
    <x:row r="128">
      <x:c r="P128" s="41"/>
      <x:c r="Q128" s="41"/>
      <x:c r="R128" s="33"/>
      <x:c r="S128" s="33"/>
      <x:c r="T128" s="33"/>
      <x:c r="U128" s="33"/>
      <x:c r="Y128" s="37"/>
      <x:c r="Z128" s="37"/>
      <x:c r="AJ128" s="33"/>
    </x:row>
    <x:row r="129">
      <x:c r="P129" s="41"/>
      <x:c r="Q129" s="41"/>
      <x:c r="R129" s="33"/>
      <x:c r="S129" s="33"/>
      <x:c r="T129" s="33"/>
      <x:c r="U129" s="33"/>
      <x:c r="Y129" s="37"/>
      <x:c r="Z129" s="37"/>
      <x:c r="AJ129" s="33"/>
    </x:row>
    <x:row r="130">
      <x:c r="P130" s="41"/>
      <x:c r="Q130" s="41"/>
      <x:c r="R130" s="33"/>
      <x:c r="S130" s="33"/>
      <x:c r="T130" s="33"/>
      <x:c r="U130" s="33"/>
      <x:c r="Y130" s="37"/>
      <x:c r="Z130" s="37"/>
      <x:c r="AJ130" s="33"/>
    </x:row>
    <x:row r="131">
      <x:c r="P131" s="41"/>
      <x:c r="Q131" s="41"/>
      <x:c r="R131" s="33"/>
      <x:c r="S131" s="33"/>
      <x:c r="T131" s="33"/>
      <x:c r="U131" s="33"/>
      <x:c r="Y131" s="37"/>
      <x:c r="Z131" s="37"/>
      <x:c r="AJ131" s="33"/>
    </x:row>
    <x:row r="132">
      <x:c r="P132" s="41"/>
      <x:c r="Q132" s="41"/>
      <x:c r="R132" s="33"/>
      <x:c r="S132" s="33"/>
      <x:c r="T132" s="33"/>
      <x:c r="U132" s="33"/>
      <x:c r="Y132" s="37"/>
      <x:c r="Z132" s="37"/>
      <x:c r="AJ132" s="33"/>
    </x:row>
    <x:row r="133">
      <x:c r="P133" s="41"/>
      <x:c r="Q133" s="41"/>
      <x:c r="R133" s="33"/>
      <x:c r="S133" s="33"/>
      <x:c r="T133" s="33"/>
      <x:c r="U133" s="33"/>
      <x:c r="Y133" s="37"/>
      <x:c r="Z133" s="37"/>
      <x:c r="AJ133" s="33"/>
    </x:row>
    <x:row r="134">
      <x:c r="P134" s="41"/>
      <x:c r="Q134" s="41"/>
      <x:c r="R134" s="33"/>
      <x:c r="S134" s="33"/>
      <x:c r="T134" s="33"/>
      <x:c r="U134" s="33"/>
      <x:c r="Y134" s="37"/>
      <x:c r="Z134" s="37"/>
      <x:c r="AJ134" s="33"/>
    </x:row>
    <x:row r="135">
      <x:c r="P135" s="41"/>
      <x:c r="Q135" s="41"/>
      <x:c r="R135" s="33"/>
      <x:c r="S135" s="33"/>
      <x:c r="T135" s="33"/>
      <x:c r="U135" s="33"/>
      <x:c r="Y135" s="37"/>
      <x:c r="Z135" s="37"/>
      <x:c r="AJ135" s="33"/>
    </x:row>
    <x:row r="136">
      <x:c r="P136" s="41"/>
      <x:c r="Q136" s="41"/>
      <x:c r="R136" s="33"/>
      <x:c r="S136" s="33"/>
      <x:c r="T136" s="33"/>
      <x:c r="U136" s="33"/>
      <x:c r="Y136" s="37"/>
      <x:c r="Z136" s="37"/>
      <x:c r="AJ136" s="33"/>
    </x:row>
    <x:row r="137">
      <x:c r="P137" s="41"/>
      <x:c r="Q137" s="41"/>
      <x:c r="R137" s="33"/>
      <x:c r="S137" s="33"/>
      <x:c r="T137" s="33"/>
      <x:c r="U137" s="33"/>
      <x:c r="Y137" s="37"/>
      <x:c r="Z137" s="37"/>
      <x:c r="AJ137" s="33"/>
    </x:row>
    <x:row r="138">
      <x:c r="P138" s="41"/>
      <x:c r="Q138" s="41"/>
      <x:c r="R138" s="33"/>
      <x:c r="S138" s="33"/>
      <x:c r="T138" s="33"/>
      <x:c r="U138" s="33"/>
      <x:c r="Y138" s="37"/>
      <x:c r="Z138" s="37"/>
      <x:c r="AJ138" s="33"/>
    </x:row>
    <x:row r="139">
      <x:c r="P139" s="41"/>
      <x:c r="Q139" s="41"/>
      <x:c r="R139" s="33"/>
      <x:c r="S139" s="33"/>
      <x:c r="T139" s="33"/>
      <x:c r="U139" s="33"/>
      <x:c r="Y139" s="37"/>
      <x:c r="Z139" s="37"/>
      <x:c r="AJ139" s="33"/>
    </x:row>
    <x:row r="140">
      <x:c r="P140" s="41"/>
      <x:c r="Q140" s="41"/>
      <x:c r="R140" s="33"/>
      <x:c r="S140" s="33"/>
      <x:c r="T140" s="33"/>
      <x:c r="U140" s="33"/>
      <x:c r="Y140" s="37"/>
      <x:c r="Z140" s="37"/>
      <x:c r="AJ140" s="33"/>
    </x:row>
    <x:row r="141">
      <x:c r="P141" s="41"/>
      <x:c r="Q141" s="41"/>
      <x:c r="R141" s="33"/>
      <x:c r="S141" s="33"/>
      <x:c r="T141" s="33"/>
      <x:c r="U141" s="33"/>
      <x:c r="Y141" s="37"/>
      <x:c r="Z141" s="37"/>
      <x:c r="AJ141" s="33"/>
    </x:row>
    <x:row r="142">
      <x:c r="P142" s="41"/>
      <x:c r="Q142" s="41"/>
      <x:c r="R142" s="33"/>
      <x:c r="S142" s="33"/>
      <x:c r="T142" s="33"/>
      <x:c r="U142" s="33"/>
      <x:c r="Y142" s="37"/>
      <x:c r="Z142" s="37"/>
      <x:c r="AJ142" s="33"/>
    </x:row>
    <x:row r="143">
      <x:c r="P143" s="41"/>
      <x:c r="Q143" s="41"/>
      <x:c r="R143" s="33"/>
      <x:c r="S143" s="33"/>
      <x:c r="T143" s="33"/>
      <x:c r="U143" s="33"/>
      <x:c r="Y143" s="37"/>
      <x:c r="Z143" s="37"/>
      <x:c r="AJ143" s="33"/>
    </x:row>
    <x:row r="144">
      <x:c r="P144" s="41"/>
      <x:c r="Q144" s="41"/>
      <x:c r="R144" s="33"/>
      <x:c r="S144" s="33"/>
      <x:c r="T144" s="33"/>
      <x:c r="U144" s="33"/>
      <x:c r="Y144" s="37"/>
      <x:c r="Z144" s="37"/>
      <x:c r="AJ144" s="33"/>
    </x:row>
    <x:row r="145">
      <x:c r="P145" s="41"/>
      <x:c r="Q145" s="41"/>
      <x:c r="R145" s="33"/>
      <x:c r="S145" s="33"/>
      <x:c r="T145" s="33"/>
      <x:c r="U145" s="33"/>
      <x:c r="Y145" s="37"/>
      <x:c r="Z145" s="37"/>
      <x:c r="AJ145" s="33"/>
    </x:row>
    <x:row r="146">
      <x:c r="P146" s="41"/>
      <x:c r="Q146" s="41"/>
      <x:c r="R146" s="33"/>
      <x:c r="S146" s="33"/>
      <x:c r="T146" s="33"/>
      <x:c r="U146" s="33"/>
      <x:c r="Y146" s="37"/>
      <x:c r="Z146" s="37"/>
      <x:c r="AJ146" s="33"/>
    </x:row>
    <x:row r="147">
      <x:c r="P147" s="41"/>
      <x:c r="Q147" s="41"/>
      <x:c r="R147" s="33"/>
      <x:c r="S147" s="33"/>
      <x:c r="T147" s="33"/>
      <x:c r="U147" s="33"/>
      <x:c r="Y147" s="37"/>
      <x:c r="Z147" s="37"/>
      <x:c r="AJ147" s="33"/>
    </x:row>
    <x:row r="148">
      <x:c r="P148" s="41"/>
      <x:c r="Q148" s="41"/>
      <x:c r="R148" s="33"/>
      <x:c r="S148" s="33"/>
      <x:c r="T148" s="33"/>
      <x:c r="U148" s="33"/>
      <x:c r="Y148" s="37"/>
      <x:c r="Z148" s="37"/>
      <x:c r="AJ148" s="33"/>
    </x:row>
    <x:row r="149">
      <x:c r="P149" s="41"/>
      <x:c r="Q149" s="41"/>
      <x:c r="R149" s="33"/>
      <x:c r="S149" s="33"/>
      <x:c r="T149" s="33"/>
      <x:c r="U149" s="33"/>
      <x:c r="Y149" s="37"/>
      <x:c r="Z149" s="37"/>
      <x:c r="AJ149" s="33"/>
    </x:row>
    <x:row r="150">
      <x:c r="P150" s="41"/>
      <x:c r="Q150" s="41"/>
      <x:c r="R150" s="33"/>
      <x:c r="S150" s="33"/>
      <x:c r="T150" s="33"/>
      <x:c r="U150" s="33"/>
      <x:c r="Y150" s="37"/>
      <x:c r="Z150" s="37"/>
      <x:c r="AJ150" s="33"/>
    </x:row>
    <x:row r="151">
      <x:c r="P151" s="41"/>
      <x:c r="Q151" s="41"/>
      <x:c r="R151" s="33"/>
      <x:c r="S151" s="33"/>
      <x:c r="T151" s="33"/>
      <x:c r="U151" s="33"/>
      <x:c r="Y151" s="37"/>
      <x:c r="Z151" s="37"/>
      <x:c r="AJ151" s="33"/>
    </x:row>
    <x:row r="152">
      <x:c r="P152" s="41"/>
      <x:c r="Q152" s="41"/>
      <x:c r="R152" s="33"/>
      <x:c r="S152" s="33"/>
      <x:c r="T152" s="33"/>
      <x:c r="U152" s="33"/>
      <x:c r="Y152" s="37"/>
      <x:c r="Z152" s="37"/>
      <x:c r="AJ152" s="33"/>
    </x:row>
    <x:row r="153">
      <x:c r="P153" s="41"/>
      <x:c r="Q153" s="41"/>
      <x:c r="R153" s="33"/>
      <x:c r="S153" s="33"/>
      <x:c r="T153" s="33"/>
      <x:c r="U153" s="33"/>
      <x:c r="Y153" s="37"/>
      <x:c r="Z153" s="37"/>
      <x:c r="AJ153" s="33"/>
    </x:row>
    <x:row r="154">
      <x:c r="P154" s="41"/>
      <x:c r="Q154" s="41"/>
      <x:c r="R154" s="33"/>
      <x:c r="S154" s="33"/>
      <x:c r="T154" s="33"/>
      <x:c r="U154" s="33"/>
      <x:c r="Y154" s="37"/>
      <x:c r="Z154" s="37"/>
      <x:c r="AJ154" s="33"/>
    </x:row>
    <x:row r="155">
      <x:c r="P155" s="41"/>
      <x:c r="Q155" s="41"/>
      <x:c r="R155" s="33"/>
      <x:c r="S155" s="33"/>
      <x:c r="T155" s="33"/>
      <x:c r="U155" s="33"/>
      <x:c r="Y155" s="37"/>
      <x:c r="Z155" s="37"/>
      <x:c r="AJ155" s="33"/>
    </x:row>
    <x:row r="156">
      <x:c r="P156" s="41"/>
      <x:c r="Q156" s="41"/>
      <x:c r="R156" s="33"/>
      <x:c r="S156" s="33"/>
      <x:c r="T156" s="33"/>
      <x:c r="U156" s="33"/>
      <x:c r="Y156" s="37"/>
      <x:c r="Z156" s="37"/>
      <x:c r="AJ156" s="33"/>
    </x:row>
    <x:row r="157">
      <x:c r="P157" s="41"/>
      <x:c r="Q157" s="41"/>
      <x:c r="R157" s="33"/>
      <x:c r="S157" s="33"/>
      <x:c r="T157" s="33"/>
      <x:c r="U157" s="33"/>
      <x:c r="Y157" s="37"/>
      <x:c r="Z157" s="37"/>
      <x:c r="AJ157" s="33"/>
    </x:row>
    <x:row r="158">
      <x:c r="P158" s="41"/>
      <x:c r="Q158" s="41"/>
      <x:c r="R158" s="33"/>
      <x:c r="S158" s="33"/>
      <x:c r="T158" s="33"/>
      <x:c r="U158" s="33"/>
      <x:c r="Y158" s="37"/>
      <x:c r="Z158" s="37"/>
      <x:c r="AJ158" s="33"/>
    </x:row>
    <x:row r="159">
      <x:c r="P159" s="41"/>
      <x:c r="Q159" s="41"/>
      <x:c r="R159" s="33"/>
      <x:c r="S159" s="33"/>
      <x:c r="T159" s="33"/>
      <x:c r="U159" s="33"/>
      <x:c r="Y159" s="37"/>
      <x:c r="Z159" s="37"/>
      <x:c r="AJ159" s="33"/>
    </x:row>
    <x:row r="160">
      <x:c r="P160" s="41"/>
      <x:c r="Q160" s="41"/>
      <x:c r="R160" s="33"/>
      <x:c r="S160" s="33"/>
      <x:c r="T160" s="33"/>
      <x:c r="U160" s="33"/>
      <x:c r="Y160" s="37"/>
      <x:c r="Z160" s="37"/>
      <x:c r="AJ160" s="33"/>
    </x:row>
    <x:row r="161">
      <x:c r="P161" s="41"/>
      <x:c r="Q161" s="41"/>
      <x:c r="R161" s="33"/>
      <x:c r="S161" s="33"/>
      <x:c r="T161" s="33"/>
      <x:c r="U161" s="33"/>
      <x:c r="Y161" s="37"/>
      <x:c r="Z161" s="37"/>
      <x:c r="AJ161" s="33"/>
    </x:row>
    <x:row r="162">
      <x:c r="P162" s="41"/>
      <x:c r="Q162" s="41"/>
      <x:c r="R162" s="33"/>
      <x:c r="S162" s="33"/>
      <x:c r="T162" s="33"/>
      <x:c r="U162" s="33"/>
      <x:c r="Y162" s="37"/>
      <x:c r="Z162" s="37"/>
      <x:c r="AJ162" s="33"/>
    </x:row>
    <x:row r="163">
      <x:c r="P163" s="41"/>
      <x:c r="Q163" s="41"/>
      <x:c r="R163" s="33"/>
      <x:c r="S163" s="33"/>
      <x:c r="T163" s="33"/>
      <x:c r="U163" s="33"/>
      <x:c r="Y163" s="37"/>
      <x:c r="Z163" s="37"/>
      <x:c r="AJ163" s="33"/>
    </x:row>
    <x:row r="164">
      <x:c r="P164" s="41"/>
      <x:c r="Q164" s="41"/>
      <x:c r="R164" s="33"/>
      <x:c r="S164" s="33"/>
      <x:c r="T164" s="33"/>
      <x:c r="U164" s="33"/>
      <x:c r="Y164" s="37"/>
      <x:c r="Z164" s="37"/>
      <x:c r="AJ164" s="33"/>
    </x:row>
    <x:row r="165">
      <x:c r="P165" s="41"/>
      <x:c r="Q165" s="41"/>
      <x:c r="R165" s="33"/>
      <x:c r="S165" s="33"/>
      <x:c r="T165" s="33"/>
      <x:c r="U165" s="33"/>
      <x:c r="Y165" s="37"/>
      <x:c r="Z165" s="37"/>
      <x:c r="AJ165" s="33"/>
    </x:row>
    <x:row r="166">
      <x:c r="P166" s="41"/>
      <x:c r="Q166" s="41"/>
      <x:c r="R166" s="33"/>
      <x:c r="S166" s="33"/>
      <x:c r="T166" s="33"/>
      <x:c r="U166" s="33"/>
      <x:c r="Y166" s="37"/>
      <x:c r="Z166" s="37"/>
      <x:c r="AJ166" s="33"/>
    </x:row>
    <x:row r="167">
      <x:c r="P167" s="41"/>
      <x:c r="Q167" s="41"/>
      <x:c r="R167" s="33"/>
      <x:c r="S167" s="33"/>
      <x:c r="T167" s="33"/>
      <x:c r="U167" s="33"/>
      <x:c r="Y167" s="37"/>
      <x:c r="Z167" s="37"/>
      <x:c r="AJ167" s="33"/>
    </x:row>
    <x:row r="168">
      <x:c r="P168" s="41"/>
      <x:c r="Q168" s="41"/>
      <x:c r="R168" s="33"/>
      <x:c r="S168" s="33"/>
      <x:c r="T168" s="33"/>
      <x:c r="U168" s="33"/>
      <x:c r="Y168" s="37"/>
      <x:c r="Z168" s="37"/>
      <x:c r="AJ168" s="33"/>
    </x:row>
    <x:row r="169">
      <x:c r="P169" s="41"/>
      <x:c r="Q169" s="41"/>
      <x:c r="R169" s="33"/>
      <x:c r="S169" s="33"/>
      <x:c r="T169" s="33"/>
      <x:c r="U169" s="33"/>
      <x:c r="Y169" s="37"/>
      <x:c r="Z169" s="37"/>
      <x:c r="AJ169" s="33"/>
    </x:row>
    <x:row r="170">
      <x:c r="P170" s="41"/>
      <x:c r="Q170" s="41"/>
      <x:c r="R170" s="33"/>
      <x:c r="S170" s="33"/>
      <x:c r="T170" s="33"/>
      <x:c r="U170" s="33"/>
      <x:c r="Y170" s="37"/>
      <x:c r="Z170" s="37"/>
      <x:c r="AJ170" s="33"/>
    </x:row>
    <x:row r="171">
      <x:c r="P171" s="41"/>
      <x:c r="Q171" s="41"/>
      <x:c r="R171" s="33"/>
      <x:c r="S171" s="33"/>
      <x:c r="T171" s="33"/>
      <x:c r="U171" s="33"/>
      <x:c r="Y171" s="37"/>
      <x:c r="Z171" s="37"/>
      <x:c r="AJ171" s="33"/>
    </x:row>
    <x:row r="172">
      <x:c r="P172" s="41"/>
      <x:c r="Q172" s="41"/>
      <x:c r="R172" s="33"/>
      <x:c r="S172" s="33"/>
      <x:c r="T172" s="33"/>
      <x:c r="U172" s="33"/>
      <x:c r="Y172" s="37"/>
      <x:c r="Z172" s="37"/>
      <x:c r="AJ172" s="33"/>
    </x:row>
    <x:row r="173">
      <x:c r="P173" s="41"/>
      <x:c r="Q173" s="41"/>
      <x:c r="R173" s="33"/>
      <x:c r="S173" s="33"/>
      <x:c r="T173" s="33"/>
      <x:c r="U173" s="33"/>
      <x:c r="Y173" s="37"/>
      <x:c r="Z173" s="37"/>
      <x:c r="AJ173" s="33"/>
    </x:row>
    <x:row r="174">
      <x:c r="P174" s="41"/>
      <x:c r="Q174" s="41"/>
      <x:c r="R174" s="33"/>
      <x:c r="S174" s="33"/>
      <x:c r="T174" s="33"/>
      <x:c r="U174" s="33"/>
      <x:c r="Y174" s="37"/>
      <x:c r="Z174" s="37"/>
      <x:c r="AJ174" s="33"/>
    </x:row>
    <x:row r="175">
      <x:c r="P175" s="41"/>
      <x:c r="Q175" s="41"/>
      <x:c r="R175" s="33"/>
      <x:c r="S175" s="33"/>
      <x:c r="T175" s="33"/>
      <x:c r="U175" s="33"/>
      <x:c r="Y175" s="37"/>
      <x:c r="Z175" s="37"/>
      <x:c r="AJ175" s="33"/>
    </x:row>
    <x:row r="176">
      <x:c r="P176" s="41"/>
      <x:c r="Q176" s="41"/>
      <x:c r="R176" s="33"/>
      <x:c r="S176" s="33"/>
      <x:c r="T176" s="33"/>
      <x:c r="U176" s="33"/>
      <x:c r="Y176" s="37"/>
      <x:c r="Z176" s="37"/>
      <x:c r="AJ176" s="33"/>
    </x:row>
    <x:row r="177">
      <x:c r="P177" s="41"/>
      <x:c r="Q177" s="41"/>
      <x:c r="R177" s="33"/>
      <x:c r="S177" s="33"/>
      <x:c r="T177" s="33"/>
      <x:c r="U177" s="33"/>
      <x:c r="Y177" s="37"/>
      <x:c r="Z177" s="37"/>
      <x:c r="AJ177" s="33"/>
    </x:row>
    <x:row r="178">
      <x:c r="P178" s="41"/>
      <x:c r="Q178" s="41"/>
      <x:c r="R178" s="33"/>
      <x:c r="S178" s="33"/>
      <x:c r="T178" s="33"/>
      <x:c r="U178" s="33"/>
      <x:c r="Y178" s="37"/>
      <x:c r="Z178" s="37"/>
      <x:c r="AJ178" s="33"/>
    </x:row>
    <x:row r="179">
      <x:c r="P179" s="41"/>
      <x:c r="Q179" s="41"/>
      <x:c r="R179" s="33"/>
      <x:c r="S179" s="33"/>
      <x:c r="T179" s="33"/>
      <x:c r="U179" s="33"/>
      <x:c r="Y179" s="37"/>
      <x:c r="Z179" s="37"/>
      <x:c r="AJ179" s="33"/>
    </x:row>
    <x:row r="180">
      <x:c r="P180" s="41"/>
      <x:c r="Q180" s="41"/>
      <x:c r="R180" s="33"/>
      <x:c r="S180" s="33"/>
      <x:c r="T180" s="33"/>
      <x:c r="U180" s="33"/>
      <x:c r="Y180" s="37"/>
      <x:c r="Z180" s="37"/>
      <x:c r="AJ180" s="33"/>
    </x:row>
    <x:row r="181">
      <x:c r="P181" s="41"/>
      <x:c r="Q181" s="41"/>
      <x:c r="R181" s="33"/>
      <x:c r="S181" s="33"/>
      <x:c r="T181" s="33"/>
      <x:c r="U181" s="33"/>
      <x:c r="Y181" s="37"/>
      <x:c r="Z181" s="37"/>
      <x:c r="AJ181" s="33"/>
    </x:row>
    <x:row r="182">
      <x:c r="P182" s="41"/>
      <x:c r="Q182" s="41"/>
      <x:c r="R182" s="33"/>
      <x:c r="S182" s="33"/>
      <x:c r="T182" s="33"/>
      <x:c r="U182" s="33"/>
      <x:c r="Y182" s="37"/>
      <x:c r="Z182" s="37"/>
      <x:c r="AJ182" s="33"/>
    </x:row>
    <x:row r="183">
      <x:c r="P183" s="41"/>
      <x:c r="Q183" s="41"/>
      <x:c r="R183" s="33"/>
      <x:c r="S183" s="33"/>
      <x:c r="T183" s="33"/>
      <x:c r="U183" s="33"/>
      <x:c r="Y183" s="37"/>
      <x:c r="Z183" s="37"/>
      <x:c r="AJ183" s="33"/>
    </x:row>
    <x:row r="184">
      <x:c r="P184" s="41"/>
      <x:c r="Q184" s="41"/>
      <x:c r="R184" s="33"/>
      <x:c r="S184" s="33"/>
      <x:c r="T184" s="33"/>
      <x:c r="U184" s="33"/>
      <x:c r="Y184" s="37"/>
      <x:c r="Z184" s="37"/>
      <x:c r="AJ184" s="33"/>
    </x:row>
    <x:row r="185">
      <x:c r="P185" s="41"/>
      <x:c r="Q185" s="41"/>
      <x:c r="R185" s="33"/>
      <x:c r="S185" s="33"/>
      <x:c r="T185" s="33"/>
      <x:c r="U185" s="33"/>
      <x:c r="Y185" s="37"/>
      <x:c r="Z185" s="37"/>
      <x:c r="AJ185" s="33"/>
    </x:row>
    <x:row r="186">
      <x:c r="P186" s="41"/>
      <x:c r="Q186" s="41"/>
      <x:c r="R186" s="33"/>
      <x:c r="S186" s="33"/>
      <x:c r="T186" s="33"/>
      <x:c r="U186" s="33"/>
      <x:c r="Y186" s="37"/>
      <x:c r="Z186" s="37"/>
      <x:c r="AJ186" s="33"/>
    </x:row>
    <x:row r="187">
      <x:c r="P187" s="41"/>
      <x:c r="Q187" s="41"/>
      <x:c r="R187" s="33"/>
      <x:c r="S187" s="33"/>
      <x:c r="T187" s="33"/>
      <x:c r="U187" s="33"/>
      <x:c r="Y187" s="37"/>
      <x:c r="Z187" s="37"/>
      <x:c r="AJ187" s="33"/>
    </x:row>
    <x:row r="188">
      <x:c r="P188" s="41"/>
      <x:c r="Q188" s="41"/>
      <x:c r="R188" s="33"/>
      <x:c r="S188" s="33"/>
      <x:c r="T188" s="33"/>
      <x:c r="U188" s="33"/>
      <x:c r="Y188" s="37"/>
      <x:c r="Z188" s="37"/>
      <x:c r="AJ188" s="33"/>
    </x:row>
    <x:row r="189">
      <x:c r="P189" s="41"/>
      <x:c r="Q189" s="41"/>
      <x:c r="R189" s="33"/>
      <x:c r="S189" s="33"/>
      <x:c r="T189" s="33"/>
      <x:c r="U189" s="33"/>
      <x:c r="Y189" s="37"/>
      <x:c r="Z189" s="37"/>
      <x:c r="AJ189" s="33"/>
    </x:row>
    <x:row r="190">
      <x:c r="P190" s="41"/>
      <x:c r="Q190" s="41"/>
      <x:c r="R190" s="33"/>
      <x:c r="S190" s="33"/>
      <x:c r="T190" s="33"/>
      <x:c r="U190" s="33"/>
      <x:c r="Y190" s="37"/>
      <x:c r="Z190" s="37"/>
      <x:c r="AJ190" s="33"/>
    </x:row>
    <x:row r="191">
      <x:c r="P191" s="41"/>
      <x:c r="Q191" s="41"/>
      <x:c r="R191" s="33"/>
      <x:c r="S191" s="33"/>
      <x:c r="T191" s="33"/>
      <x:c r="U191" s="33"/>
      <x:c r="Y191" s="37"/>
      <x:c r="Z191" s="37"/>
      <x:c r="AJ191" s="33"/>
    </x:row>
    <x:row r="192">
      <x:c r="P192" s="41"/>
      <x:c r="Q192" s="41"/>
      <x:c r="R192" s="33"/>
      <x:c r="S192" s="33"/>
      <x:c r="T192" s="33"/>
      <x:c r="U192" s="33"/>
      <x:c r="Y192" s="37"/>
      <x:c r="Z192" s="37"/>
      <x:c r="AJ192" s="33"/>
    </x:row>
    <x:row r="193">
      <x:c r="P193" s="41"/>
      <x:c r="Q193" s="41"/>
      <x:c r="R193" s="33"/>
      <x:c r="S193" s="33"/>
      <x:c r="T193" s="33"/>
      <x:c r="U193" s="33"/>
      <x:c r="Y193" s="37"/>
      <x:c r="Z193" s="37"/>
      <x:c r="AJ193" s="33"/>
    </x:row>
    <x:row r="194">
      <x:c r="P194" s="41"/>
      <x:c r="Q194" s="41"/>
      <x:c r="R194" s="33"/>
      <x:c r="S194" s="33"/>
      <x:c r="T194" s="33"/>
      <x:c r="U194" s="33"/>
      <x:c r="Y194" s="37"/>
      <x:c r="Z194" s="37"/>
      <x:c r="AJ194" s="33"/>
    </x:row>
    <x:row r="195">
      <x:c r="P195" s="41"/>
      <x:c r="Q195" s="41"/>
      <x:c r="R195" s="33"/>
      <x:c r="S195" s="33"/>
      <x:c r="T195" s="33"/>
      <x:c r="U195" s="33"/>
      <x:c r="Y195" s="37"/>
      <x:c r="Z195" s="37"/>
      <x:c r="AJ195" s="33"/>
    </x:row>
    <x:row r="196">
      <x:c r="P196" s="41"/>
      <x:c r="Q196" s="41"/>
      <x:c r="R196" s="33"/>
      <x:c r="S196" s="33"/>
      <x:c r="T196" s="33"/>
      <x:c r="U196" s="33"/>
      <x:c r="Y196" s="37"/>
      <x:c r="Z196" s="37"/>
      <x:c r="AJ196" s="33"/>
    </x:row>
    <x:row r="197">
      <x:c r="P197" s="41"/>
      <x:c r="Q197" s="41"/>
      <x:c r="R197" s="33"/>
      <x:c r="S197" s="33"/>
      <x:c r="T197" s="33"/>
      <x:c r="U197" s="33"/>
      <x:c r="Y197" s="37"/>
      <x:c r="Z197" s="37"/>
      <x:c r="AJ197" s="33"/>
    </x:row>
    <x:row r="198">
      <x:c r="P198" s="41"/>
      <x:c r="Q198" s="41"/>
      <x:c r="R198" s="33"/>
      <x:c r="S198" s="33"/>
      <x:c r="T198" s="33"/>
      <x:c r="U198" s="33"/>
      <x:c r="Y198" s="37"/>
      <x:c r="Z198" s="37"/>
      <x:c r="AJ198" s="33"/>
    </x:row>
    <x:row r="199">
      <x:c r="P199" s="41"/>
      <x:c r="Q199" s="41"/>
      <x:c r="R199" s="33"/>
      <x:c r="S199" s="33"/>
      <x:c r="T199" s="33"/>
      <x:c r="U199" s="33"/>
      <x:c r="Y199" s="37"/>
      <x:c r="Z199" s="37"/>
      <x:c r="AJ199" s="33"/>
    </x:row>
    <x:row r="200">
      <x:c r="P200" s="41"/>
      <x:c r="Q200" s="41"/>
      <x:c r="R200" s="33"/>
      <x:c r="S200" s="33"/>
      <x:c r="T200" s="33"/>
      <x:c r="U200" s="33"/>
      <x:c r="Y200" s="37"/>
      <x:c r="Z200" s="37"/>
      <x:c r="AJ200" s="33"/>
    </x:row>
    <x:row r="201">
      <x:c r="P201" s="41"/>
      <x:c r="Q201" s="41"/>
      <x:c r="R201" s="33"/>
      <x:c r="S201" s="33"/>
      <x:c r="T201" s="33"/>
      <x:c r="U201" s="33"/>
      <x:c r="Y201" s="37"/>
      <x:c r="Z201" s="37"/>
      <x:c r="AJ201" s="33"/>
    </x:row>
    <x:row r="202">
      <x:c r="P202" s="41"/>
      <x:c r="Q202" s="41"/>
      <x:c r="R202" s="33"/>
      <x:c r="S202" s="33"/>
      <x:c r="T202" s="33"/>
      <x:c r="U202" s="33"/>
      <x:c r="Y202" s="37"/>
      <x:c r="Z202" s="37"/>
      <x:c r="AJ202" s="33"/>
    </x:row>
    <x:row r="203">
      <x:c r="P203" s="41"/>
      <x:c r="Q203" s="41"/>
      <x:c r="R203" s="33"/>
      <x:c r="S203" s="33"/>
      <x:c r="T203" s="33"/>
      <x:c r="U203" s="33"/>
      <x:c r="Y203" s="37"/>
      <x:c r="Z203" s="37"/>
      <x:c r="AJ203" s="33"/>
    </x:row>
    <x:row r="204">
      <x:c r="P204" s="41"/>
      <x:c r="Q204" s="41"/>
      <x:c r="R204" s="33"/>
      <x:c r="S204" s="33"/>
      <x:c r="T204" s="33"/>
      <x:c r="U204" s="33"/>
      <x:c r="Y204" s="37"/>
      <x:c r="Z204" s="37"/>
      <x:c r="AJ204" s="33"/>
    </x:row>
    <x:row r="205">
      <x:c r="P205" s="41"/>
      <x:c r="Q205" s="41"/>
      <x:c r="R205" s="33"/>
      <x:c r="S205" s="33"/>
      <x:c r="T205" s="33"/>
      <x:c r="U205" s="33"/>
      <x:c r="Y205" s="37"/>
      <x:c r="Z205" s="37"/>
      <x:c r="AJ205" s="33"/>
    </x:row>
    <x:row r="206">
      <x:c r="P206" s="41"/>
      <x:c r="Q206" s="41"/>
      <x:c r="R206" s="33"/>
      <x:c r="S206" s="33"/>
      <x:c r="T206" s="33"/>
      <x:c r="U206" s="33"/>
      <x:c r="Y206" s="37"/>
      <x:c r="Z206" s="37"/>
      <x:c r="AJ206" s="33"/>
    </x:row>
    <x:row r="207">
      <x:c r="P207" s="41"/>
      <x:c r="Q207" s="41"/>
      <x:c r="R207" s="33"/>
      <x:c r="S207" s="33"/>
      <x:c r="T207" s="33"/>
      <x:c r="U207" s="33"/>
      <x:c r="Y207" s="37"/>
      <x:c r="Z207" s="37"/>
      <x:c r="AJ207" s="33"/>
    </x:row>
    <x:row r="208">
      <x:c r="P208" s="41"/>
      <x:c r="Q208" s="41"/>
      <x:c r="R208" s="33"/>
      <x:c r="S208" s="33"/>
      <x:c r="T208" s="33"/>
      <x:c r="U208" s="33"/>
      <x:c r="Y208" s="37"/>
      <x:c r="Z208" s="37"/>
      <x:c r="AJ208" s="33"/>
    </x:row>
    <x:row r="209">
      <x:c r="P209" s="41"/>
      <x:c r="Q209" s="41"/>
      <x:c r="R209" s="33"/>
      <x:c r="S209" s="33"/>
      <x:c r="T209" s="33"/>
      <x:c r="U209" s="33"/>
      <x:c r="Y209" s="37"/>
      <x:c r="Z209" s="37"/>
      <x:c r="AJ209" s="33"/>
    </x:row>
    <x:row r="210">
      <x:c r="P210" s="41"/>
      <x:c r="Q210" s="41"/>
      <x:c r="R210" s="33"/>
      <x:c r="S210" s="33"/>
      <x:c r="T210" s="33"/>
      <x:c r="U210" s="33"/>
      <x:c r="Y210" s="37"/>
      <x:c r="Z210" s="37"/>
      <x:c r="AJ210" s="33"/>
    </x:row>
    <x:row r="211">
      <x:c r="P211" s="41"/>
      <x:c r="Q211" s="41"/>
      <x:c r="R211" s="33"/>
      <x:c r="S211" s="33"/>
      <x:c r="T211" s="33"/>
      <x:c r="U211" s="33"/>
      <x:c r="Y211" s="37"/>
      <x:c r="Z211" s="37"/>
      <x:c r="AJ211" s="33"/>
    </x:row>
    <x:row r="212">
      <x:c r="P212" s="41"/>
      <x:c r="Q212" s="41"/>
      <x:c r="R212" s="33"/>
      <x:c r="S212" s="33"/>
      <x:c r="T212" s="33"/>
      <x:c r="U212" s="33"/>
      <x:c r="Y212" s="37"/>
      <x:c r="Z212" s="37"/>
      <x:c r="AJ212" s="33"/>
    </x:row>
    <x:row r="213">
      <x:c r="P213" s="41"/>
      <x:c r="Q213" s="41"/>
      <x:c r="R213" s="33"/>
      <x:c r="S213" s="33"/>
      <x:c r="T213" s="33"/>
      <x:c r="U213" s="33"/>
      <x:c r="Y213" s="37"/>
      <x:c r="Z213" s="37"/>
      <x:c r="AJ213" s="33"/>
    </x:row>
    <x:row r="214">
      <x:c r="P214" s="41"/>
      <x:c r="Q214" s="41"/>
      <x:c r="R214" s="33"/>
      <x:c r="S214" s="33"/>
      <x:c r="T214" s="33"/>
      <x:c r="U214" s="33"/>
      <x:c r="Y214" s="37"/>
      <x:c r="Z214" s="37"/>
      <x:c r="AJ214" s="33"/>
    </x:row>
    <x:row r="215">
      <x:c r="P215" s="41"/>
      <x:c r="Q215" s="41"/>
      <x:c r="R215" s="33"/>
      <x:c r="S215" s="33"/>
      <x:c r="T215" s="33"/>
      <x:c r="U215" s="33"/>
      <x:c r="Y215" s="37"/>
      <x:c r="Z215" s="37"/>
      <x:c r="AJ215" s="33"/>
    </x:row>
    <x:row r="216">
      <x:c r="P216" s="41"/>
      <x:c r="Q216" s="41"/>
      <x:c r="R216" s="33"/>
      <x:c r="S216" s="33"/>
      <x:c r="T216" s="33"/>
      <x:c r="U216" s="33"/>
      <x:c r="Y216" s="37"/>
      <x:c r="Z216" s="37"/>
      <x:c r="AJ216" s="33"/>
    </x:row>
    <x:row r="217">
      <x:c r="P217" s="41"/>
      <x:c r="Q217" s="41"/>
      <x:c r="R217" s="33"/>
      <x:c r="S217" s="33"/>
      <x:c r="T217" s="33"/>
      <x:c r="U217" s="33"/>
      <x:c r="Y217" s="37"/>
      <x:c r="Z217" s="37"/>
      <x:c r="AJ217" s="33"/>
    </x:row>
    <x:row r="218">
      <x:c r="P218" s="41"/>
      <x:c r="Q218" s="41"/>
      <x:c r="R218" s="33"/>
      <x:c r="S218" s="33"/>
      <x:c r="T218" s="33"/>
      <x:c r="U218" s="33"/>
      <x:c r="Y218" s="37"/>
      <x:c r="Z218" s="37"/>
      <x:c r="AJ218" s="33"/>
    </x:row>
    <x:row r="219">
      <x:c r="P219" s="41"/>
      <x:c r="Q219" s="41"/>
      <x:c r="R219" s="33"/>
      <x:c r="S219" s="33"/>
      <x:c r="T219" s="33"/>
      <x:c r="U219" s="33"/>
      <x:c r="Y219" s="37"/>
      <x:c r="Z219" s="37"/>
      <x:c r="AJ219" s="33"/>
    </x:row>
    <x:row r="220">
      <x:c r="P220" s="41"/>
      <x:c r="Q220" s="41"/>
      <x:c r="R220" s="33"/>
      <x:c r="S220" s="33"/>
      <x:c r="T220" s="33"/>
      <x:c r="U220" s="33"/>
      <x:c r="Y220" s="37"/>
      <x:c r="Z220" s="37"/>
      <x:c r="AJ220" s="33"/>
    </x:row>
    <x:row r="221">
      <x:c r="P221" s="41"/>
      <x:c r="Q221" s="41"/>
      <x:c r="R221" s="33"/>
      <x:c r="S221" s="33"/>
      <x:c r="T221" s="33"/>
      <x:c r="U221" s="33"/>
      <x:c r="Y221" s="37"/>
      <x:c r="Z221" s="37"/>
      <x:c r="AJ221" s="33"/>
    </x:row>
    <x:row r="222">
      <x:c r="P222" s="41"/>
      <x:c r="Q222" s="41"/>
      <x:c r="R222" s="33"/>
      <x:c r="S222" s="33"/>
      <x:c r="T222" s="33"/>
      <x:c r="U222" s="33"/>
      <x:c r="Y222" s="37"/>
      <x:c r="Z222" s="37"/>
      <x:c r="AJ222" s="33"/>
    </x:row>
    <x:row r="223">
      <x:c r="P223" s="41"/>
      <x:c r="Q223" s="41"/>
      <x:c r="R223" s="33"/>
      <x:c r="S223" s="33"/>
      <x:c r="T223" s="33"/>
      <x:c r="U223" s="33"/>
      <x:c r="Y223" s="37"/>
      <x:c r="Z223" s="37"/>
      <x:c r="AJ223" s="33"/>
    </x:row>
    <x:row r="224">
      <x:c r="P224" s="41"/>
      <x:c r="Q224" s="41"/>
      <x:c r="R224" s="33"/>
      <x:c r="S224" s="33"/>
      <x:c r="T224" s="33"/>
      <x:c r="U224" s="33"/>
      <x:c r="Y224" s="37"/>
      <x:c r="Z224" s="37"/>
      <x:c r="AJ224" s="33"/>
    </x:row>
    <x:row r="225">
      <x:c r="P225" s="41"/>
      <x:c r="Q225" s="41"/>
      <x:c r="R225" s="33"/>
      <x:c r="S225" s="33"/>
      <x:c r="T225" s="33"/>
      <x:c r="U225" s="33"/>
      <x:c r="Y225" s="37"/>
      <x:c r="Z225" s="37"/>
      <x:c r="AJ225" s="33"/>
    </x:row>
    <x:row r="226">
      <x:c r="P226" s="41"/>
      <x:c r="Q226" s="41"/>
      <x:c r="R226" s="33"/>
      <x:c r="S226" s="33"/>
      <x:c r="T226" s="33"/>
      <x:c r="U226" s="33"/>
      <x:c r="Y226" s="37"/>
      <x:c r="Z226" s="37"/>
      <x:c r="AJ226" s="33"/>
    </x:row>
    <x:row r="227">
      <x:c r="P227" s="41"/>
      <x:c r="Q227" s="41"/>
      <x:c r="R227" s="33"/>
      <x:c r="S227" s="33"/>
      <x:c r="T227" s="33"/>
      <x:c r="U227" s="33"/>
      <x:c r="Y227" s="37"/>
      <x:c r="Z227" s="37"/>
      <x:c r="AJ227" s="33"/>
    </x:row>
    <x:row r="228">
      <x:c r="P228" s="41"/>
      <x:c r="Q228" s="41"/>
      <x:c r="R228" s="33"/>
      <x:c r="S228" s="33"/>
      <x:c r="T228" s="33"/>
      <x:c r="U228" s="33"/>
      <x:c r="Y228" s="37"/>
      <x:c r="Z228" s="37"/>
      <x:c r="AJ228" s="33"/>
    </x:row>
    <x:row r="229">
      <x:c r="P229" s="41"/>
      <x:c r="Q229" s="41"/>
      <x:c r="R229" s="33"/>
      <x:c r="S229" s="33"/>
      <x:c r="T229" s="33"/>
      <x:c r="U229" s="33"/>
      <x:c r="Y229" s="37"/>
      <x:c r="Z229" s="37"/>
      <x:c r="AJ229" s="33"/>
    </x:row>
    <x:row r="230">
      <x:c r="P230" s="41"/>
      <x:c r="Q230" s="41"/>
      <x:c r="R230" s="33"/>
      <x:c r="S230" s="33"/>
      <x:c r="T230" s="33"/>
      <x:c r="U230" s="33"/>
      <x:c r="Y230" s="37"/>
      <x:c r="Z230" s="37"/>
      <x:c r="AJ230" s="33"/>
    </x:row>
    <x:row r="231">
      <x:c r="P231" s="41"/>
      <x:c r="Q231" s="41"/>
      <x:c r="R231" s="33"/>
      <x:c r="S231" s="33"/>
      <x:c r="T231" s="33"/>
      <x:c r="U231" s="33"/>
      <x:c r="Y231" s="37"/>
      <x:c r="Z231" s="37"/>
      <x:c r="AJ231" s="33"/>
    </x:row>
    <x:row r="232">
      <x:c r="P232" s="41"/>
      <x:c r="Q232" s="41"/>
      <x:c r="R232" s="33"/>
      <x:c r="S232" s="33"/>
      <x:c r="T232" s="33"/>
      <x:c r="U232" s="33"/>
      <x:c r="Y232" s="37"/>
      <x:c r="Z232" s="37"/>
      <x:c r="AJ232" s="33"/>
    </x:row>
    <x:row r="233">
      <x:c r="P233" s="41"/>
      <x:c r="Q233" s="41"/>
      <x:c r="R233" s="33"/>
      <x:c r="S233" s="33"/>
      <x:c r="T233" s="33"/>
      <x:c r="U233" s="33"/>
      <x:c r="Y233" s="37"/>
      <x:c r="Z233" s="37"/>
      <x:c r="AJ233" s="33"/>
    </x:row>
    <x:row r="234">
      <x:c r="P234" s="41"/>
      <x:c r="Q234" s="41"/>
      <x:c r="R234" s="33"/>
      <x:c r="S234" s="33"/>
      <x:c r="T234" s="33"/>
      <x:c r="U234" s="33"/>
      <x:c r="Y234" s="37"/>
      <x:c r="Z234" s="37"/>
      <x:c r="AJ234" s="33"/>
    </x:row>
    <x:row r="235">
      <x:c r="P235" s="41"/>
      <x:c r="Q235" s="41"/>
      <x:c r="R235" s="33"/>
      <x:c r="S235" s="33"/>
      <x:c r="T235" s="33"/>
      <x:c r="U235" s="33"/>
      <x:c r="Y235" s="37"/>
      <x:c r="Z235" s="37"/>
      <x:c r="AJ235" s="33"/>
    </x:row>
    <x:row r="236">
      <x:c r="P236" s="41"/>
      <x:c r="Q236" s="41"/>
      <x:c r="R236" s="33"/>
      <x:c r="S236" s="33"/>
      <x:c r="T236" s="33"/>
      <x:c r="U236" s="33"/>
      <x:c r="Y236" s="37"/>
      <x:c r="Z236" s="37"/>
      <x:c r="AJ236" s="33"/>
    </x:row>
    <x:row r="237">
      <x:c r="P237" s="41"/>
      <x:c r="Q237" s="41"/>
      <x:c r="R237" s="33"/>
      <x:c r="S237" s="33"/>
      <x:c r="T237" s="33"/>
      <x:c r="U237" s="33"/>
      <x:c r="Y237" s="37"/>
      <x:c r="Z237" s="37"/>
      <x:c r="AJ237" s="33"/>
    </x:row>
    <x:row r="238">
      <x:c r="P238" s="41"/>
      <x:c r="Q238" s="41"/>
      <x:c r="R238" s="33"/>
      <x:c r="S238" s="33"/>
      <x:c r="T238" s="33"/>
      <x:c r="U238" s="33"/>
      <x:c r="Y238" s="37"/>
      <x:c r="Z238" s="37"/>
      <x:c r="AJ238" s="33"/>
    </x:row>
    <x:row r="239">
      <x:c r="P239" s="41"/>
      <x:c r="Q239" s="41"/>
      <x:c r="R239" s="33"/>
      <x:c r="S239" s="33"/>
      <x:c r="T239" s="33"/>
      <x:c r="U239" s="33"/>
      <x:c r="Y239" s="37"/>
      <x:c r="Z239" s="37"/>
      <x:c r="AJ239" s="33"/>
    </x:row>
    <x:row r="240">
      <x:c r="P240" s="41"/>
      <x:c r="Q240" s="41"/>
      <x:c r="R240" s="33"/>
      <x:c r="S240" s="33"/>
      <x:c r="T240" s="33"/>
      <x:c r="U240" s="33"/>
      <x:c r="Y240" s="37"/>
      <x:c r="Z240" s="37"/>
      <x:c r="AJ240" s="33"/>
    </x:row>
    <x:row r="241">
      <x:c r="P241" s="41"/>
      <x:c r="Q241" s="41"/>
      <x:c r="R241" s="33"/>
      <x:c r="S241" s="33"/>
      <x:c r="T241" s="33"/>
      <x:c r="U241" s="33"/>
      <x:c r="Y241" s="37"/>
      <x:c r="Z241" s="37"/>
      <x:c r="AJ241" s="33"/>
    </x:row>
    <x:row r="242">
      <x:c r="P242" s="41"/>
      <x:c r="Q242" s="41"/>
      <x:c r="R242" s="33"/>
      <x:c r="S242" s="33"/>
      <x:c r="T242" s="33"/>
      <x:c r="U242" s="33"/>
      <x:c r="Y242" s="37"/>
      <x:c r="Z242" s="37"/>
      <x:c r="AJ242" s="33"/>
    </x:row>
    <x:row r="243">
      <x:c r="P243" s="41"/>
      <x:c r="Q243" s="41"/>
      <x:c r="R243" s="33"/>
      <x:c r="S243" s="33"/>
      <x:c r="T243" s="33"/>
      <x:c r="U243" s="33"/>
      <x:c r="Y243" s="37"/>
      <x:c r="Z243" s="37"/>
      <x:c r="AJ243" s="33"/>
    </x:row>
    <x:row r="244">
      <x:c r="P244" s="41"/>
      <x:c r="Q244" s="41"/>
      <x:c r="R244" s="33"/>
      <x:c r="S244" s="33"/>
      <x:c r="T244" s="33"/>
      <x:c r="U244" s="33"/>
      <x:c r="Y244" s="37"/>
      <x:c r="Z244" s="37"/>
      <x:c r="AJ244" s="33"/>
    </x:row>
    <x:row r="245">
      <x:c r="P245" s="41"/>
      <x:c r="Q245" s="41"/>
      <x:c r="R245" s="33"/>
      <x:c r="S245" s="33"/>
      <x:c r="T245" s="33"/>
      <x:c r="U245" s="33"/>
      <x:c r="Y245" s="37"/>
      <x:c r="Z245" s="37"/>
      <x:c r="AJ245" s="33"/>
    </x:row>
    <x:row r="246">
      <x:c r="P246" s="41"/>
      <x:c r="Q246" s="41"/>
      <x:c r="R246" s="33"/>
      <x:c r="S246" s="33"/>
      <x:c r="T246" s="33"/>
      <x:c r="U246" s="33"/>
      <x:c r="Y246" s="37"/>
      <x:c r="Z246" s="37"/>
      <x:c r="AJ246" s="33"/>
    </x:row>
    <x:row r="247">
      <x:c r="P247" s="41"/>
      <x:c r="Q247" s="41"/>
      <x:c r="R247" s="33"/>
      <x:c r="S247" s="33"/>
      <x:c r="T247" s="33"/>
      <x:c r="U247" s="33"/>
      <x:c r="Y247" s="37"/>
      <x:c r="Z247" s="37"/>
      <x:c r="AJ247" s="33"/>
    </x:row>
    <x:row r="248">
      <x:c r="P248" s="41"/>
      <x:c r="Q248" s="41"/>
      <x:c r="R248" s="33"/>
      <x:c r="S248" s="33"/>
      <x:c r="T248" s="33"/>
      <x:c r="U248" s="33"/>
      <x:c r="Y248" s="37"/>
      <x:c r="Z248" s="37"/>
      <x:c r="AJ248" s="33"/>
    </x:row>
    <x:row r="249">
      <x:c r="P249" s="41"/>
      <x:c r="Q249" s="41"/>
      <x:c r="R249" s="33"/>
      <x:c r="S249" s="33"/>
      <x:c r="T249" s="33"/>
      <x:c r="U249" s="33"/>
      <x:c r="Y249" s="37"/>
      <x:c r="Z249" s="37"/>
      <x:c r="AJ249" s="33"/>
    </x:row>
    <x:row r="250">
      <x:c r="P250" s="41"/>
      <x:c r="Q250" s="41"/>
      <x:c r="R250" s="33"/>
      <x:c r="S250" s="33"/>
      <x:c r="T250" s="33"/>
      <x:c r="U250" s="33"/>
      <x:c r="Y250" s="37"/>
      <x:c r="Z250" s="37"/>
      <x:c r="AJ250" s="33"/>
    </x:row>
    <x:row r="251">
      <x:c r="P251" s="41"/>
      <x:c r="Q251" s="41"/>
      <x:c r="R251" s="33"/>
      <x:c r="S251" s="33"/>
      <x:c r="T251" s="33"/>
      <x:c r="U251" s="33"/>
      <x:c r="Y251" s="37"/>
      <x:c r="Z251" s="37"/>
      <x:c r="AJ251" s="33"/>
    </x:row>
    <x:row r="252">
      <x:c r="P252" s="41"/>
      <x:c r="Q252" s="41"/>
      <x:c r="R252" s="33"/>
      <x:c r="S252" s="33"/>
      <x:c r="T252" s="33"/>
      <x:c r="U252" s="33"/>
      <x:c r="Y252" s="37"/>
      <x:c r="Z252" s="37"/>
      <x:c r="AJ252" s="33"/>
    </x:row>
    <x:row r="253">
      <x:c r="P253" s="41"/>
      <x:c r="Q253" s="41"/>
      <x:c r="R253" s="33"/>
      <x:c r="S253" s="33"/>
      <x:c r="T253" s="33"/>
      <x:c r="U253" s="33"/>
      <x:c r="Y253" s="37"/>
      <x:c r="Z253" s="37"/>
      <x:c r="AJ253" s="33"/>
    </x:row>
    <x:row r="254">
      <x:c r="P254" s="41"/>
      <x:c r="Q254" s="41"/>
      <x:c r="R254" s="33"/>
      <x:c r="S254" s="33"/>
      <x:c r="T254" s="33"/>
      <x:c r="U254" s="33"/>
      <x:c r="Y254" s="37"/>
      <x:c r="Z254" s="37"/>
      <x:c r="AJ254" s="33"/>
    </x:row>
    <x:row r="255">
      <x:c r="P255" s="41"/>
      <x:c r="Q255" s="41"/>
      <x:c r="R255" s="33"/>
      <x:c r="S255" s="33"/>
      <x:c r="T255" s="33"/>
      <x:c r="U255" s="33"/>
      <x:c r="Y255" s="37"/>
      <x:c r="Z255" s="37"/>
      <x:c r="AJ255" s="33"/>
    </x:row>
    <x:row r="256">
      <x:c r="P256" s="41"/>
      <x:c r="Q256" s="41"/>
      <x:c r="R256" s="33"/>
      <x:c r="S256" s="33"/>
      <x:c r="T256" s="33"/>
      <x:c r="U256" s="33"/>
      <x:c r="Y256" s="37"/>
      <x:c r="Z256" s="37"/>
      <x:c r="AJ256" s="33"/>
    </x:row>
    <x:row r="257">
      <x:c r="P257" s="41"/>
      <x:c r="Q257" s="41"/>
      <x:c r="R257" s="33"/>
      <x:c r="S257" s="33"/>
      <x:c r="T257" s="33"/>
      <x:c r="U257" s="33"/>
      <x:c r="Y257" s="37"/>
      <x:c r="Z257" s="37"/>
      <x:c r="AJ257" s="33"/>
    </x:row>
    <x:row r="258">
      <x:c r="P258" s="41"/>
      <x:c r="Q258" s="41"/>
      <x:c r="R258" s="33"/>
      <x:c r="S258" s="33"/>
      <x:c r="T258" s="33"/>
      <x:c r="U258" s="33"/>
      <x:c r="Y258" s="37"/>
      <x:c r="Z258" s="37"/>
      <x:c r="AJ258" s="33"/>
    </x:row>
    <x:row r="259">
      <x:c r="P259" s="41"/>
      <x:c r="Q259" s="41"/>
      <x:c r="R259" s="33"/>
      <x:c r="S259" s="33"/>
      <x:c r="T259" s="33"/>
      <x:c r="U259" s="33"/>
      <x:c r="Y259" s="37"/>
      <x:c r="Z259" s="37"/>
      <x:c r="AJ259" s="33"/>
    </x:row>
    <x:row r="260">
      <x:c r="P260" s="41"/>
      <x:c r="Q260" s="41"/>
      <x:c r="R260" s="33"/>
      <x:c r="S260" s="33"/>
      <x:c r="T260" s="33"/>
      <x:c r="U260" s="33"/>
      <x:c r="Y260" s="37"/>
      <x:c r="Z260" s="37"/>
      <x:c r="AJ260" s="33"/>
    </x:row>
    <x:row r="261">
      <x:c r="P261" s="41"/>
      <x:c r="Q261" s="41"/>
      <x:c r="R261" s="33"/>
      <x:c r="S261" s="33"/>
      <x:c r="T261" s="33"/>
      <x:c r="U261" s="33"/>
      <x:c r="Y261" s="37"/>
      <x:c r="Z261" s="37"/>
      <x:c r="AJ261" s="33"/>
    </x:row>
    <x:row r="262">
      <x:c r="P262" s="41"/>
      <x:c r="Q262" s="41"/>
      <x:c r="R262" s="33"/>
      <x:c r="S262" s="33"/>
      <x:c r="T262" s="33"/>
      <x:c r="U262" s="33"/>
      <x:c r="Y262" s="37"/>
      <x:c r="Z262" s="37"/>
      <x:c r="AJ262" s="33"/>
    </x:row>
    <x:row r="263">
      <x:c r="P263" s="41"/>
      <x:c r="Q263" s="41"/>
      <x:c r="R263" s="33"/>
      <x:c r="S263" s="33"/>
      <x:c r="T263" s="33"/>
      <x:c r="U263" s="33"/>
      <x:c r="Y263" s="37"/>
      <x:c r="Z263" s="37"/>
      <x:c r="AJ263" s="33"/>
    </x:row>
    <x:row r="264">
      <x:c r="P264" s="41"/>
      <x:c r="Q264" s="41"/>
      <x:c r="R264" s="33"/>
      <x:c r="S264" s="33"/>
      <x:c r="T264" s="33"/>
      <x:c r="U264" s="33"/>
      <x:c r="Y264" s="37"/>
      <x:c r="Z264" s="37"/>
      <x:c r="AJ264" s="33"/>
    </x:row>
    <x:row r="265">
      <x:c r="P265" s="41"/>
      <x:c r="Q265" s="41"/>
      <x:c r="R265" s="33"/>
      <x:c r="S265" s="33"/>
      <x:c r="T265" s="33"/>
      <x:c r="U265" s="33"/>
      <x:c r="Y265" s="37"/>
      <x:c r="Z265" s="37"/>
      <x:c r="AJ265" s="33"/>
    </x:row>
    <x:row r="266">
      <x:c r="P266" s="41"/>
      <x:c r="Q266" s="41"/>
      <x:c r="R266" s="33"/>
      <x:c r="S266" s="33"/>
      <x:c r="T266" s="33"/>
      <x:c r="U266" s="33"/>
      <x:c r="Y266" s="37"/>
      <x:c r="Z266" s="37"/>
      <x:c r="AJ266" s="33"/>
    </x:row>
    <x:row r="267">
      <x:c r="P267" s="41"/>
      <x:c r="Q267" s="41"/>
      <x:c r="R267" s="33"/>
      <x:c r="S267" s="33"/>
      <x:c r="T267" s="33"/>
      <x:c r="U267" s="33"/>
      <x:c r="Y267" s="37"/>
      <x:c r="Z267" s="37"/>
      <x:c r="AJ267" s="33"/>
    </x:row>
    <x:row r="268">
      <x:c r="P268" s="41"/>
      <x:c r="Q268" s="41"/>
      <x:c r="R268" s="33"/>
      <x:c r="S268" s="33"/>
      <x:c r="T268" s="33"/>
      <x:c r="U268" s="33"/>
      <x:c r="Y268" s="37"/>
      <x:c r="Z268" s="37"/>
      <x:c r="AJ268" s="33"/>
    </x:row>
    <x:row r="269">
      <x:c r="P269" s="41"/>
      <x:c r="Q269" s="41"/>
      <x:c r="R269" s="33"/>
      <x:c r="S269" s="33"/>
      <x:c r="T269" s="33"/>
      <x:c r="U269" s="33"/>
      <x:c r="Y269" s="37"/>
      <x:c r="Z269" s="37"/>
      <x:c r="AJ269" s="33"/>
    </x:row>
    <x:row r="270">
      <x:c r="P270" s="41"/>
      <x:c r="Q270" s="41"/>
      <x:c r="R270" s="33"/>
      <x:c r="S270" s="33"/>
      <x:c r="T270" s="33"/>
      <x:c r="U270" s="33"/>
      <x:c r="Y270" s="37"/>
      <x:c r="Z270" s="37"/>
      <x:c r="AJ270" s="33"/>
    </x:row>
    <x:row r="271">
      <x:c r="P271" s="41"/>
      <x:c r="Q271" s="41"/>
      <x:c r="R271" s="33"/>
      <x:c r="S271" s="33"/>
      <x:c r="T271" s="33"/>
      <x:c r="U271" s="33"/>
      <x:c r="Y271" s="37"/>
      <x:c r="Z271" s="37"/>
      <x:c r="AJ271" s="33"/>
    </x:row>
    <x:row r="272">
      <x:c r="P272" s="41"/>
      <x:c r="Q272" s="41"/>
      <x:c r="R272" s="33"/>
      <x:c r="S272" s="33"/>
      <x:c r="T272" s="33"/>
      <x:c r="U272" s="33"/>
      <x:c r="Y272" s="37"/>
      <x:c r="Z272" s="37"/>
      <x:c r="AJ272" s="33"/>
    </x:row>
    <x:row r="273">
      <x:c r="P273" s="41"/>
      <x:c r="Q273" s="41"/>
      <x:c r="R273" s="33"/>
      <x:c r="S273" s="33"/>
      <x:c r="T273" s="33"/>
      <x:c r="U273" s="33"/>
      <x:c r="Y273" s="37"/>
      <x:c r="Z273" s="37"/>
      <x:c r="AJ273" s="33"/>
    </x:row>
    <x:row r="274">
      <x:c r="P274" s="41"/>
      <x:c r="Q274" s="41"/>
      <x:c r="R274" s="33"/>
      <x:c r="S274" s="33"/>
      <x:c r="T274" s="33"/>
      <x:c r="U274" s="33"/>
      <x:c r="Y274" s="37"/>
      <x:c r="Z274" s="37"/>
      <x:c r="AJ274" s="33"/>
    </x:row>
    <x:row r="275">
      <x:c r="P275" s="41"/>
      <x:c r="Q275" s="41"/>
      <x:c r="R275" s="33"/>
      <x:c r="S275" s="33"/>
      <x:c r="T275" s="33"/>
      <x:c r="U275" s="33"/>
      <x:c r="Y275" s="37"/>
      <x:c r="Z275" s="37"/>
      <x:c r="AJ275" s="33"/>
    </x:row>
    <x:row r="276">
      <x:c r="P276" s="41"/>
      <x:c r="Q276" s="41"/>
      <x:c r="R276" s="33"/>
      <x:c r="S276" s="33"/>
      <x:c r="T276" s="33"/>
      <x:c r="U276" s="33"/>
      <x:c r="Y276" s="37"/>
      <x:c r="Z276" s="37"/>
      <x:c r="AJ276" s="33"/>
    </x:row>
    <x:row r="277">
      <x:c r="P277" s="41"/>
      <x:c r="Q277" s="41"/>
      <x:c r="R277" s="33"/>
      <x:c r="S277" s="33"/>
      <x:c r="T277" s="33"/>
      <x:c r="U277" s="33"/>
      <x:c r="Y277" s="37"/>
      <x:c r="Z277" s="37"/>
      <x:c r="AJ277" s="33"/>
    </x:row>
    <x:row r="278">
      <x:c r="P278" s="41"/>
      <x:c r="Q278" s="41"/>
      <x:c r="R278" s="33"/>
      <x:c r="S278" s="33"/>
      <x:c r="T278" s="33"/>
      <x:c r="U278" s="33"/>
      <x:c r="Y278" s="37"/>
      <x:c r="Z278" s="37"/>
      <x:c r="AJ278" s="33"/>
    </x:row>
    <x:row r="279">
      <x:c r="P279" s="41"/>
      <x:c r="Q279" s="41"/>
      <x:c r="R279" s="33"/>
      <x:c r="S279" s="33"/>
      <x:c r="T279" s="33"/>
      <x:c r="U279" s="33"/>
      <x:c r="Y279" s="37"/>
      <x:c r="Z279" s="37"/>
      <x:c r="AJ279" s="33"/>
    </x:row>
    <x:row r="280">
      <x:c r="P280" s="41"/>
      <x:c r="Q280" s="41"/>
      <x:c r="R280" s="33"/>
      <x:c r="S280" s="33"/>
      <x:c r="T280" s="33"/>
      <x:c r="U280" s="33"/>
      <x:c r="Y280" s="37"/>
      <x:c r="Z280" s="37"/>
      <x:c r="AJ280" s="33"/>
    </x:row>
    <x:row r="281">
      <x:c r="P281" s="41"/>
      <x:c r="Q281" s="41"/>
      <x:c r="R281" s="33"/>
      <x:c r="S281" s="33"/>
      <x:c r="T281" s="33"/>
      <x:c r="U281" s="33"/>
      <x:c r="Y281" s="37"/>
      <x:c r="Z281" s="37"/>
      <x:c r="AJ281" s="33"/>
    </x:row>
    <x:row r="282">
      <x:c r="P282" s="41"/>
      <x:c r="Q282" s="41"/>
      <x:c r="R282" s="33"/>
      <x:c r="S282" s="33"/>
      <x:c r="T282" s="33"/>
      <x:c r="U282" s="33"/>
      <x:c r="Y282" s="37"/>
      <x:c r="Z282" s="37"/>
      <x:c r="AJ282" s="33"/>
    </x:row>
    <x:row r="283">
      <x:c r="P283" s="41"/>
      <x:c r="Q283" s="41"/>
      <x:c r="R283" s="33"/>
      <x:c r="S283" s="33"/>
      <x:c r="T283" s="33"/>
      <x:c r="U283" s="33"/>
      <x:c r="Y283" s="37"/>
      <x:c r="Z283" s="37"/>
      <x:c r="AJ283" s="33"/>
    </x:row>
    <x:row r="284">
      <x:c r="P284" s="41"/>
      <x:c r="Q284" s="41"/>
      <x:c r="R284" s="33"/>
      <x:c r="S284" s="33"/>
      <x:c r="T284" s="33"/>
      <x:c r="U284" s="33"/>
      <x:c r="Y284" s="37"/>
      <x:c r="Z284" s="37"/>
      <x:c r="AJ284" s="33"/>
    </x:row>
    <x:row r="285">
      <x:c r="P285" s="41"/>
      <x:c r="Q285" s="41"/>
      <x:c r="R285" s="33"/>
      <x:c r="S285" s="33"/>
      <x:c r="T285" s="33"/>
      <x:c r="U285" s="33"/>
      <x:c r="Y285" s="37"/>
      <x:c r="Z285" s="37"/>
      <x:c r="AJ285" s="33"/>
    </x:row>
    <x:row r="286">
      <x:c r="P286" s="41"/>
      <x:c r="Q286" s="41"/>
      <x:c r="R286" s="33"/>
      <x:c r="S286" s="33"/>
      <x:c r="T286" s="33"/>
      <x:c r="U286" s="33"/>
      <x:c r="Y286" s="37"/>
      <x:c r="Z286" s="37"/>
      <x:c r="AJ286" s="33"/>
    </x:row>
    <x:row r="287">
      <x:c r="P287" s="41"/>
      <x:c r="Q287" s="41"/>
      <x:c r="R287" s="33"/>
      <x:c r="S287" s="33"/>
      <x:c r="T287" s="33"/>
      <x:c r="U287" s="33"/>
      <x:c r="Y287" s="37"/>
      <x:c r="Z287" s="37"/>
      <x:c r="AJ287" s="33"/>
    </x:row>
    <x:row r="288">
      <x:c r="P288" s="41"/>
      <x:c r="Q288" s="41"/>
      <x:c r="R288" s="33"/>
      <x:c r="S288" s="33"/>
      <x:c r="T288" s="33"/>
      <x:c r="U288" s="33"/>
      <x:c r="Y288" s="37"/>
      <x:c r="Z288" s="37"/>
      <x:c r="AJ288" s="33"/>
    </x:row>
    <x:row r="289">
      <x:c r="P289" s="41"/>
      <x:c r="Q289" s="41"/>
      <x:c r="R289" s="33"/>
      <x:c r="S289" s="33"/>
      <x:c r="T289" s="33"/>
      <x:c r="U289" s="33"/>
      <x:c r="Y289" s="37"/>
      <x:c r="Z289" s="37"/>
      <x:c r="AJ289" s="33"/>
    </x:row>
    <x:row r="290">
      <x:c r="P290" s="41"/>
      <x:c r="Q290" s="41"/>
      <x:c r="R290" s="33"/>
      <x:c r="S290" s="33"/>
      <x:c r="T290" s="33"/>
      <x:c r="U290" s="33"/>
      <x:c r="Y290" s="37"/>
      <x:c r="Z290" s="37"/>
      <x:c r="AJ290" s="33"/>
    </x:row>
    <x:row r="291">
      <x:c r="P291" s="41"/>
      <x:c r="Q291" s="41"/>
      <x:c r="R291" s="33"/>
      <x:c r="S291" s="33"/>
      <x:c r="T291" s="33"/>
      <x:c r="U291" s="33"/>
      <x:c r="Y291" s="37"/>
      <x:c r="Z291" s="37"/>
      <x:c r="AJ291" s="33"/>
    </x:row>
    <x:row r="292">
      <x:c r="P292" s="41"/>
      <x:c r="Q292" s="41"/>
      <x:c r="R292" s="33"/>
      <x:c r="S292" s="33"/>
      <x:c r="T292" s="33"/>
      <x:c r="U292" s="33"/>
      <x:c r="Y292" s="37"/>
      <x:c r="Z292" s="37"/>
      <x:c r="AJ292" s="33"/>
    </x:row>
    <x:row r="293">
      <x:c r="P293" s="41"/>
      <x:c r="Q293" s="41"/>
      <x:c r="R293" s="33"/>
      <x:c r="S293" s="33"/>
      <x:c r="T293" s="33"/>
      <x:c r="U293" s="33"/>
      <x:c r="Y293" s="37"/>
      <x:c r="Z293" s="37"/>
      <x:c r="AJ293" s="33"/>
    </x:row>
    <x:row r="294">
      <x:c r="P294" s="41"/>
      <x:c r="Q294" s="41"/>
      <x:c r="R294" s="33"/>
      <x:c r="S294" s="33"/>
      <x:c r="T294" s="33"/>
      <x:c r="U294" s="33"/>
      <x:c r="Y294" s="37"/>
      <x:c r="Z294" s="37"/>
      <x:c r="AJ294" s="33"/>
    </x:row>
    <x:row r="295">
      <x:c r="P295" s="41"/>
      <x:c r="Q295" s="41"/>
      <x:c r="R295" s="33"/>
      <x:c r="S295" s="33"/>
      <x:c r="T295" s="33"/>
      <x:c r="U295" s="33"/>
      <x:c r="Y295" s="37"/>
      <x:c r="Z295" s="37"/>
      <x:c r="AJ295" s="33"/>
    </x:row>
    <x:row r="296">
      <x:c r="P296" s="41"/>
      <x:c r="Q296" s="41"/>
      <x:c r="R296" s="33"/>
      <x:c r="S296" s="33"/>
      <x:c r="T296" s="33"/>
      <x:c r="U296" s="33"/>
      <x:c r="Y296" s="37"/>
      <x:c r="Z296" s="37"/>
      <x:c r="AJ296" s="33"/>
    </x:row>
    <x:row r="297">
      <x:c r="P297" s="41"/>
      <x:c r="Q297" s="41"/>
      <x:c r="R297" s="33"/>
      <x:c r="S297" s="33"/>
      <x:c r="T297" s="33"/>
      <x:c r="U297" s="33"/>
      <x:c r="Y297" s="37"/>
      <x:c r="Z297" s="37"/>
      <x:c r="AJ297" s="33"/>
    </x:row>
    <x:row r="298">
      <x:c r="P298" s="41"/>
      <x:c r="Q298" s="41"/>
      <x:c r="R298" s="33"/>
      <x:c r="S298" s="33"/>
      <x:c r="T298" s="33"/>
      <x:c r="U298" s="33"/>
      <x:c r="Y298" s="37"/>
      <x:c r="Z298" s="37"/>
      <x:c r="AJ298" s="33"/>
    </x:row>
    <x:row r="299">
      <x:c r="P299" s="41"/>
      <x:c r="Q299" s="41"/>
      <x:c r="R299" s="33"/>
      <x:c r="S299" s="33"/>
      <x:c r="T299" s="33"/>
      <x:c r="U299" s="33"/>
      <x:c r="Y299" s="37"/>
      <x:c r="Z299" s="37"/>
      <x:c r="AJ299" s="33"/>
    </x:row>
    <x:row r="300">
      <x:c r="P300" s="41"/>
      <x:c r="Q300" s="41"/>
      <x:c r="R300" s="33"/>
      <x:c r="S300" s="33"/>
      <x:c r="T300" s="33"/>
      <x:c r="U300" s="33"/>
      <x:c r="Y300" s="37"/>
      <x:c r="Z300" s="37"/>
      <x:c r="AJ300" s="33"/>
    </x:row>
    <x:row r="301">
      <x:c r="P301" s="41"/>
      <x:c r="Q301" s="41"/>
      <x:c r="R301" s="33"/>
      <x:c r="S301" s="33"/>
      <x:c r="T301" s="33"/>
      <x:c r="U301" s="33"/>
      <x:c r="Y301" s="37"/>
      <x:c r="Z301" s="37"/>
      <x:c r="AJ301" s="33"/>
    </x:row>
    <x:row r="302">
      <x:c r="P302" s="41"/>
      <x:c r="Q302" s="41"/>
      <x:c r="R302" s="33"/>
      <x:c r="S302" s="33"/>
      <x:c r="T302" s="33"/>
      <x:c r="U302" s="33"/>
      <x:c r="Y302" s="37"/>
      <x:c r="Z302" s="37"/>
      <x:c r="AJ302" s="33"/>
    </x:row>
    <x:row r="303">
      <x:c r="P303" s="41"/>
      <x:c r="Q303" s="41"/>
      <x:c r="R303" s="33"/>
      <x:c r="S303" s="33"/>
      <x:c r="T303" s="33"/>
      <x:c r="U303" s="33"/>
      <x:c r="Y303" s="37"/>
      <x:c r="Z303" s="37"/>
      <x:c r="AJ303" s="33"/>
    </x:row>
    <x:row r="304">
      <x:c r="P304" s="41"/>
      <x:c r="Q304" s="41"/>
      <x:c r="R304" s="33"/>
      <x:c r="S304" s="33"/>
      <x:c r="T304" s="33"/>
      <x:c r="U304" s="33"/>
      <x:c r="Y304" s="37"/>
      <x:c r="Z304" s="37"/>
      <x:c r="AJ304" s="33"/>
    </x:row>
    <x:row r="305">
      <x:c r="P305" s="41"/>
      <x:c r="Q305" s="41"/>
      <x:c r="R305" s="33"/>
      <x:c r="S305" s="33"/>
      <x:c r="T305" s="33"/>
      <x:c r="U305" s="33"/>
      <x:c r="Y305" s="37"/>
      <x:c r="Z305" s="37"/>
      <x:c r="AJ305" s="33"/>
    </x:row>
    <x:row r="306">
      <x:c r="P306" s="41"/>
      <x:c r="Q306" s="41"/>
      <x:c r="R306" s="33"/>
      <x:c r="S306" s="33"/>
      <x:c r="T306" s="33"/>
      <x:c r="U306" s="33"/>
      <x:c r="Y306" s="37"/>
      <x:c r="Z306" s="37"/>
      <x:c r="AJ306" s="33"/>
    </x:row>
    <x:row r="307">
      <x:c r="P307" s="41"/>
      <x:c r="Q307" s="41"/>
      <x:c r="R307" s="33"/>
      <x:c r="S307" s="33"/>
      <x:c r="T307" s="33"/>
      <x:c r="U307" s="33"/>
      <x:c r="Y307" s="37"/>
      <x:c r="Z307" s="37"/>
      <x:c r="AJ307" s="33"/>
    </x:row>
    <x:row r="308">
      <x:c r="P308" s="41"/>
      <x:c r="Q308" s="41"/>
      <x:c r="R308" s="33"/>
      <x:c r="S308" s="33"/>
      <x:c r="T308" s="33"/>
      <x:c r="U308" s="33"/>
      <x:c r="Y308" s="37"/>
      <x:c r="Z308" s="37"/>
      <x:c r="AJ308" s="33"/>
    </x:row>
    <x:row r="309">
      <x:c r="P309" s="41"/>
      <x:c r="Q309" s="41"/>
      <x:c r="R309" s="33"/>
      <x:c r="S309" s="33"/>
      <x:c r="T309" s="33"/>
      <x:c r="U309" s="33"/>
      <x:c r="Y309" s="37"/>
      <x:c r="Z309" s="37"/>
      <x:c r="AJ309" s="33"/>
    </x:row>
    <x:row r="310">
      <x:c r="P310" s="41"/>
      <x:c r="Q310" s="41"/>
      <x:c r="R310" s="33"/>
      <x:c r="S310" s="33"/>
      <x:c r="T310" s="33"/>
      <x:c r="U310" s="33"/>
      <x:c r="Y310" s="37"/>
      <x:c r="Z310" s="37"/>
      <x:c r="AJ310" s="33"/>
    </x:row>
    <x:row r="311">
      <x:c r="P311" s="41"/>
      <x:c r="Q311" s="41"/>
      <x:c r="R311" s="33"/>
      <x:c r="S311" s="33"/>
      <x:c r="T311" s="33"/>
      <x:c r="U311" s="33"/>
      <x:c r="Y311" s="37"/>
      <x:c r="Z311" s="37"/>
      <x:c r="AJ311" s="33"/>
    </x:row>
    <x:row r="312">
      <x:c r="P312" s="41"/>
      <x:c r="Q312" s="41"/>
      <x:c r="R312" s="33"/>
      <x:c r="S312" s="33"/>
      <x:c r="T312" s="33"/>
      <x:c r="U312" s="33"/>
      <x:c r="Y312" s="37"/>
      <x:c r="Z312" s="37"/>
      <x:c r="AJ312" s="33"/>
    </x:row>
    <x:row r="313">
      <x:c r="P313" s="41"/>
      <x:c r="Q313" s="41"/>
      <x:c r="R313" s="33"/>
      <x:c r="S313" s="33"/>
      <x:c r="T313" s="33"/>
      <x:c r="U313" s="33"/>
      <x:c r="Y313" s="37"/>
      <x:c r="Z313" s="37"/>
      <x:c r="AJ313" s="33"/>
    </x:row>
    <x:row r="314">
      <x:c r="P314" s="41"/>
      <x:c r="Q314" s="41"/>
      <x:c r="R314" s="33"/>
      <x:c r="S314" s="33"/>
      <x:c r="T314" s="33"/>
      <x:c r="U314" s="33"/>
      <x:c r="Y314" s="37"/>
      <x:c r="Z314" s="37"/>
      <x:c r="AJ314" s="33"/>
    </x:row>
    <x:row r="315">
      <x:c r="P315" s="41"/>
      <x:c r="Q315" s="41"/>
      <x:c r="R315" s="33"/>
      <x:c r="S315" s="33"/>
      <x:c r="T315" s="33"/>
      <x:c r="U315" s="33"/>
      <x:c r="Y315" s="37"/>
      <x:c r="Z315" s="37"/>
      <x:c r="AJ315" s="33"/>
    </x:row>
    <x:row r="316">
      <x:c r="P316" s="41"/>
      <x:c r="Q316" s="41"/>
      <x:c r="R316" s="33"/>
      <x:c r="S316" s="33"/>
      <x:c r="T316" s="33"/>
      <x:c r="U316" s="33"/>
      <x:c r="Y316" s="37"/>
      <x:c r="Z316" s="37"/>
      <x:c r="AJ316" s="33"/>
    </x:row>
    <x:row r="317">
      <x:c r="P317" s="41"/>
      <x:c r="Q317" s="41"/>
      <x:c r="R317" s="33"/>
      <x:c r="S317" s="33"/>
      <x:c r="T317" s="33"/>
      <x:c r="U317" s="33"/>
      <x:c r="Y317" s="37"/>
      <x:c r="Z317" s="37"/>
      <x:c r="AJ317" s="33"/>
    </x:row>
    <x:row r="318">
      <x:c r="P318" s="41"/>
      <x:c r="Q318" s="41"/>
      <x:c r="R318" s="33"/>
      <x:c r="S318" s="33"/>
      <x:c r="T318" s="33"/>
      <x:c r="U318" s="33"/>
      <x:c r="Y318" s="37"/>
      <x:c r="Z318" s="37"/>
      <x:c r="AJ318" s="33"/>
    </x:row>
    <x:row r="319">
      <x:c r="P319" s="41"/>
      <x:c r="Q319" s="41"/>
      <x:c r="R319" s="33"/>
      <x:c r="S319" s="33"/>
      <x:c r="T319" s="33"/>
      <x:c r="U319" s="33"/>
      <x:c r="Y319" s="37"/>
      <x:c r="Z319" s="37"/>
      <x:c r="AJ319" s="33"/>
    </x:row>
    <x:row r="320">
      <x:c r="P320" s="41"/>
      <x:c r="Q320" s="41"/>
      <x:c r="R320" s="33"/>
      <x:c r="S320" s="33"/>
      <x:c r="T320" s="33"/>
      <x:c r="U320" s="33"/>
      <x:c r="Y320" s="37"/>
      <x:c r="Z320" s="37"/>
      <x:c r="AJ320" s="33"/>
    </x:row>
    <x:row r="321">
      <x:c r="P321" s="41"/>
      <x:c r="Q321" s="41"/>
      <x:c r="R321" s="33"/>
      <x:c r="S321" s="33"/>
      <x:c r="T321" s="33"/>
      <x:c r="U321" s="33"/>
      <x:c r="Y321" s="37"/>
      <x:c r="Z321" s="37"/>
      <x:c r="AJ321" s="33"/>
    </x:row>
    <x:row r="322">
      <x:c r="P322" s="41"/>
      <x:c r="Q322" s="41"/>
      <x:c r="R322" s="33"/>
      <x:c r="S322" s="33"/>
      <x:c r="T322" s="33"/>
      <x:c r="U322" s="33"/>
      <x:c r="Y322" s="37"/>
      <x:c r="Z322" s="37"/>
      <x:c r="AJ322" s="33"/>
    </x:row>
    <x:row r="323">
      <x:c r="P323" s="41"/>
      <x:c r="Q323" s="41"/>
      <x:c r="R323" s="33"/>
      <x:c r="S323" s="33"/>
      <x:c r="T323" s="33"/>
      <x:c r="U323" s="33"/>
      <x:c r="Y323" s="37"/>
      <x:c r="Z323" s="37"/>
      <x:c r="AJ323" s="33"/>
    </x:row>
    <x:row r="324">
      <x:c r="P324" s="41"/>
      <x:c r="Q324" s="41"/>
      <x:c r="R324" s="33"/>
      <x:c r="S324" s="33"/>
      <x:c r="T324" s="33"/>
      <x:c r="U324" s="33"/>
      <x:c r="Y324" s="37"/>
      <x:c r="Z324" s="37"/>
      <x:c r="AJ324" s="33"/>
    </x:row>
    <x:row r="325">
      <x:c r="P325" s="41"/>
      <x:c r="Q325" s="41"/>
      <x:c r="R325" s="33"/>
      <x:c r="S325" s="33"/>
      <x:c r="T325" s="33"/>
      <x:c r="U325" s="33"/>
      <x:c r="Y325" s="37"/>
      <x:c r="Z325" s="37"/>
      <x:c r="AJ325" s="33"/>
    </x:row>
    <x:row r="326">
      <x:c r="P326" s="41"/>
      <x:c r="Q326" s="41"/>
      <x:c r="R326" s="33"/>
      <x:c r="S326" s="33"/>
      <x:c r="T326" s="33"/>
      <x:c r="U326" s="33"/>
      <x:c r="Y326" s="37"/>
      <x:c r="Z326" s="37"/>
      <x:c r="AJ326" s="33"/>
    </x:row>
    <x:row r="327">
      <x:c r="P327" s="41"/>
      <x:c r="Q327" s="41"/>
      <x:c r="R327" s="33"/>
      <x:c r="S327" s="33"/>
      <x:c r="T327" s="33"/>
      <x:c r="U327" s="33"/>
      <x:c r="Y327" s="37"/>
      <x:c r="Z327" s="37"/>
      <x:c r="AJ327" s="33"/>
    </x:row>
    <x:row r="328">
      <x:c r="P328" s="41"/>
      <x:c r="Q328" s="41"/>
      <x:c r="R328" s="33"/>
      <x:c r="S328" s="33"/>
      <x:c r="T328" s="33"/>
      <x:c r="U328" s="33"/>
      <x:c r="Y328" s="37"/>
      <x:c r="Z328" s="37"/>
      <x:c r="AJ328" s="33"/>
    </x:row>
    <x:row r="329">
      <x:c r="P329" s="41"/>
      <x:c r="Q329" s="41"/>
      <x:c r="R329" s="33"/>
      <x:c r="S329" s="33"/>
      <x:c r="T329" s="33"/>
      <x:c r="U329" s="33"/>
      <x:c r="Y329" s="37"/>
      <x:c r="Z329" s="37"/>
      <x:c r="AJ329" s="33"/>
    </x:row>
    <x:row r="330">
      <x:c r="P330" s="41"/>
      <x:c r="Q330" s="41"/>
      <x:c r="R330" s="33"/>
      <x:c r="S330" s="33"/>
      <x:c r="T330" s="33"/>
      <x:c r="U330" s="33"/>
      <x:c r="Y330" s="37"/>
      <x:c r="Z330" s="37"/>
      <x:c r="AJ330" s="33"/>
    </x:row>
    <x:row r="331">
      <x:c r="P331" s="41"/>
      <x:c r="Q331" s="41"/>
      <x:c r="R331" s="33"/>
      <x:c r="S331" s="33"/>
      <x:c r="T331" s="33"/>
      <x:c r="U331" s="33"/>
      <x:c r="Y331" s="37"/>
      <x:c r="Z331" s="37"/>
      <x:c r="AJ331" s="33"/>
    </x:row>
    <x:row r="332">
      <x:c r="P332" s="41"/>
      <x:c r="Q332" s="41"/>
      <x:c r="R332" s="33"/>
      <x:c r="S332" s="33"/>
      <x:c r="T332" s="33"/>
      <x:c r="U332" s="33"/>
      <x:c r="Y332" s="37"/>
      <x:c r="Z332" s="37"/>
      <x:c r="AJ332" s="33"/>
    </x:row>
    <x:row r="333">
      <x:c r="P333" s="41"/>
      <x:c r="Q333" s="41"/>
      <x:c r="R333" s="33"/>
      <x:c r="S333" s="33"/>
      <x:c r="T333" s="33"/>
      <x:c r="U333" s="33"/>
      <x:c r="Y333" s="37"/>
      <x:c r="Z333" s="37"/>
      <x:c r="AJ333" s="33"/>
    </x:row>
    <x:row r="334">
      <x:c r="P334" s="41"/>
      <x:c r="Q334" s="41"/>
      <x:c r="R334" s="33"/>
      <x:c r="S334" s="33"/>
      <x:c r="T334" s="33"/>
      <x:c r="U334" s="33"/>
      <x:c r="Y334" s="37"/>
      <x:c r="Z334" s="37"/>
      <x:c r="AJ334" s="33"/>
    </x:row>
    <x:row r="335">
      <x:c r="P335" s="41"/>
      <x:c r="Q335" s="41"/>
      <x:c r="R335" s="33"/>
      <x:c r="S335" s="33"/>
      <x:c r="T335" s="33"/>
      <x:c r="U335" s="33"/>
      <x:c r="Y335" s="37"/>
      <x:c r="Z335" s="37"/>
      <x:c r="AJ335" s="33"/>
    </x:row>
    <x:row r="336">
      <x:c r="P336" s="41"/>
      <x:c r="Q336" s="41"/>
      <x:c r="R336" s="33"/>
      <x:c r="S336" s="33"/>
      <x:c r="T336" s="33"/>
      <x:c r="U336" s="33"/>
      <x:c r="Y336" s="37"/>
      <x:c r="Z336" s="37"/>
      <x:c r="AJ336" s="33"/>
    </x:row>
    <x:row r="337">
      <x:c r="P337" s="41"/>
      <x:c r="Q337" s="41"/>
      <x:c r="R337" s="33"/>
      <x:c r="S337" s="33"/>
      <x:c r="T337" s="33"/>
      <x:c r="U337" s="33"/>
      <x:c r="Y337" s="37"/>
      <x:c r="Z337" s="37"/>
      <x:c r="AJ337" s="33"/>
    </x:row>
    <x:row r="338">
      <x:c r="P338" s="41"/>
      <x:c r="Q338" s="41"/>
      <x:c r="R338" s="33"/>
      <x:c r="S338" s="33"/>
      <x:c r="T338" s="33"/>
      <x:c r="U338" s="33"/>
      <x:c r="Y338" s="37"/>
      <x:c r="Z338" s="37"/>
      <x:c r="AJ338" s="33"/>
    </x:row>
    <x:row r="339">
      <x:c r="P339" s="41"/>
      <x:c r="Q339" s="41"/>
      <x:c r="R339" s="33"/>
      <x:c r="S339" s="33"/>
      <x:c r="T339" s="33"/>
      <x:c r="U339" s="33"/>
      <x:c r="Y339" s="37"/>
      <x:c r="Z339" s="37"/>
      <x:c r="AJ339" s="33"/>
    </x:row>
    <x:row r="340">
      <x:c r="P340" s="41"/>
      <x:c r="Q340" s="41"/>
      <x:c r="R340" s="33"/>
      <x:c r="S340" s="33"/>
      <x:c r="T340" s="33"/>
      <x:c r="U340" s="33"/>
      <x:c r="Y340" s="37"/>
      <x:c r="Z340" s="37"/>
      <x:c r="AJ340" s="33"/>
    </x:row>
    <x:row r="341">
      <x:c r="P341" s="41"/>
      <x:c r="Q341" s="41"/>
      <x:c r="R341" s="33"/>
      <x:c r="S341" s="33"/>
      <x:c r="T341" s="33"/>
      <x:c r="U341" s="33"/>
      <x:c r="Y341" s="37"/>
      <x:c r="Z341" s="37"/>
      <x:c r="AJ341" s="33"/>
    </x:row>
    <x:row r="342">
      <x:c r="P342" s="41"/>
      <x:c r="Q342" s="41"/>
      <x:c r="R342" s="33"/>
      <x:c r="S342" s="33"/>
      <x:c r="T342" s="33"/>
      <x:c r="U342" s="33"/>
      <x:c r="Y342" s="37"/>
      <x:c r="Z342" s="37"/>
      <x:c r="AJ342" s="33"/>
    </x:row>
    <x:row r="343">
      <x:c r="P343" s="41"/>
      <x:c r="Q343" s="41"/>
      <x:c r="R343" s="33"/>
      <x:c r="S343" s="33"/>
      <x:c r="T343" s="33"/>
      <x:c r="U343" s="33"/>
      <x:c r="Y343" s="37"/>
      <x:c r="Z343" s="37"/>
      <x:c r="AJ343" s="33"/>
    </x:row>
    <x:row r="344">
      <x:c r="P344" s="41"/>
      <x:c r="Q344" s="41"/>
      <x:c r="R344" s="33"/>
      <x:c r="S344" s="33"/>
      <x:c r="T344" s="33"/>
      <x:c r="U344" s="33"/>
      <x:c r="Y344" s="37"/>
      <x:c r="Z344" s="37"/>
      <x:c r="AJ344" s="33"/>
    </x:row>
    <x:row r="345">
      <x:c r="P345" s="41"/>
      <x:c r="Q345" s="41"/>
      <x:c r="R345" s="33"/>
      <x:c r="S345" s="33"/>
      <x:c r="T345" s="33"/>
      <x:c r="U345" s="33"/>
      <x:c r="Y345" s="37"/>
      <x:c r="Z345" s="37"/>
      <x:c r="AJ345" s="33"/>
    </x:row>
    <x:row r="346">
      <x:c r="P346" s="41"/>
      <x:c r="Q346" s="41"/>
      <x:c r="R346" s="33"/>
      <x:c r="S346" s="33"/>
      <x:c r="T346" s="33"/>
      <x:c r="U346" s="33"/>
      <x:c r="Y346" s="37"/>
      <x:c r="Z346" s="37"/>
      <x:c r="AJ346" s="33"/>
    </x:row>
    <x:row r="347">
      <x:c r="P347" s="41"/>
      <x:c r="Q347" s="41"/>
      <x:c r="R347" s="33"/>
      <x:c r="S347" s="33"/>
      <x:c r="T347" s="33"/>
      <x:c r="U347" s="33"/>
      <x:c r="Y347" s="37"/>
      <x:c r="Z347" s="37"/>
      <x:c r="AJ347" s="33"/>
    </x:row>
    <x:row r="348">
      <x:c r="P348" s="41"/>
      <x:c r="Q348" s="41"/>
      <x:c r="R348" s="33"/>
      <x:c r="S348" s="33"/>
      <x:c r="T348" s="33"/>
      <x:c r="U348" s="33"/>
      <x:c r="Y348" s="37"/>
      <x:c r="Z348" s="37"/>
      <x:c r="AJ348" s="33"/>
    </x:row>
    <x:row r="349">
      <x:c r="P349" s="41"/>
      <x:c r="Q349" s="41"/>
      <x:c r="R349" s="33"/>
      <x:c r="S349" s="33"/>
      <x:c r="T349" s="33"/>
      <x:c r="U349" s="33"/>
      <x:c r="Y349" s="37"/>
      <x:c r="Z349" s="37"/>
      <x:c r="AJ349" s="33"/>
    </x:row>
    <x:row r="350">
      <x:c r="P350" s="41"/>
      <x:c r="Q350" s="41"/>
      <x:c r="R350" s="33"/>
      <x:c r="S350" s="33"/>
      <x:c r="T350" s="33"/>
      <x:c r="U350" s="33"/>
      <x:c r="Y350" s="37"/>
      <x:c r="Z350" s="37"/>
      <x:c r="AJ350" s="33"/>
    </x:row>
    <x:row r="351">
      <x:c r="P351" s="41"/>
      <x:c r="Q351" s="41"/>
      <x:c r="R351" s="33"/>
      <x:c r="S351" s="33"/>
      <x:c r="T351" s="33"/>
      <x:c r="U351" s="33"/>
      <x:c r="Y351" s="37"/>
      <x:c r="Z351" s="37"/>
      <x:c r="AJ351" s="33"/>
    </x:row>
    <x:row r="352">
      <x:c r="P352" s="41"/>
      <x:c r="Q352" s="41"/>
      <x:c r="R352" s="33"/>
      <x:c r="S352" s="33"/>
      <x:c r="T352" s="33"/>
      <x:c r="U352" s="33"/>
      <x:c r="Y352" s="37"/>
      <x:c r="Z352" s="37"/>
      <x:c r="AJ352" s="33"/>
    </x:row>
    <x:row r="353">
      <x:c r="P353" s="41"/>
      <x:c r="Q353" s="41"/>
      <x:c r="R353" s="33"/>
      <x:c r="S353" s="33"/>
      <x:c r="T353" s="33"/>
      <x:c r="U353" s="33"/>
      <x:c r="Y353" s="37"/>
      <x:c r="Z353" s="37"/>
      <x:c r="AJ353" s="33"/>
    </x:row>
    <x:row r="354">
      <x:c r="P354" s="41"/>
      <x:c r="Q354" s="41"/>
      <x:c r="R354" s="33"/>
      <x:c r="S354" s="33"/>
      <x:c r="T354" s="33"/>
      <x:c r="U354" s="33"/>
      <x:c r="Y354" s="37"/>
      <x:c r="Z354" s="37"/>
      <x:c r="AJ354" s="33"/>
    </x:row>
    <x:row r="355">
      <x:c r="P355" s="41"/>
      <x:c r="Q355" s="41"/>
      <x:c r="R355" s="33"/>
      <x:c r="S355" s="33"/>
      <x:c r="T355" s="33"/>
      <x:c r="U355" s="33"/>
      <x:c r="Y355" s="37"/>
      <x:c r="Z355" s="37"/>
      <x:c r="AJ355" s="33"/>
    </x:row>
    <x:row r="356">
      <x:c r="P356" s="41"/>
      <x:c r="Q356" s="41"/>
      <x:c r="R356" s="33"/>
      <x:c r="S356" s="33"/>
      <x:c r="T356" s="33"/>
      <x:c r="U356" s="33"/>
      <x:c r="Y356" s="37"/>
      <x:c r="Z356" s="37"/>
      <x:c r="AJ356" s="33"/>
    </x:row>
    <x:row r="357">
      <x:c r="P357" s="41"/>
      <x:c r="Q357" s="41"/>
      <x:c r="R357" s="33"/>
      <x:c r="S357" s="33"/>
      <x:c r="T357" s="33"/>
      <x:c r="U357" s="33"/>
      <x:c r="Y357" s="37"/>
      <x:c r="Z357" s="37"/>
      <x:c r="AJ357" s="33"/>
    </x:row>
    <x:row r="358">
      <x:c r="P358" s="41"/>
      <x:c r="Q358" s="41"/>
      <x:c r="R358" s="33"/>
      <x:c r="S358" s="33"/>
      <x:c r="T358" s="33"/>
      <x:c r="U358" s="33"/>
      <x:c r="Y358" s="37"/>
      <x:c r="Z358" s="37"/>
      <x:c r="AJ358" s="33"/>
    </x:row>
    <x:row r="359">
      <x:c r="P359" s="41"/>
      <x:c r="Q359" s="41"/>
      <x:c r="R359" s="33"/>
      <x:c r="S359" s="33"/>
      <x:c r="T359" s="33"/>
      <x:c r="U359" s="33"/>
      <x:c r="Y359" s="37"/>
      <x:c r="Z359" s="37"/>
      <x:c r="AJ359" s="33"/>
    </x:row>
    <x:row r="360">
      <x:c r="P360" s="41"/>
      <x:c r="Q360" s="41"/>
      <x:c r="R360" s="33"/>
      <x:c r="S360" s="33"/>
      <x:c r="T360" s="33"/>
      <x:c r="U360" s="33"/>
      <x:c r="Y360" s="37"/>
      <x:c r="Z360" s="37"/>
      <x:c r="AJ360" s="33"/>
    </x:row>
    <x:row r="361">
      <x:c r="P361" s="41"/>
      <x:c r="Q361" s="41"/>
      <x:c r="R361" s="33"/>
      <x:c r="S361" s="33"/>
      <x:c r="T361" s="33"/>
      <x:c r="U361" s="33"/>
      <x:c r="Y361" s="37"/>
      <x:c r="Z361" s="37"/>
      <x:c r="AJ361" s="33"/>
    </x:row>
    <x:row r="362">
      <x:c r="P362" s="41"/>
      <x:c r="Q362" s="41"/>
      <x:c r="R362" s="33"/>
      <x:c r="S362" s="33"/>
      <x:c r="T362" s="33"/>
      <x:c r="U362" s="33"/>
      <x:c r="Y362" s="37"/>
      <x:c r="Z362" s="37"/>
      <x:c r="AJ362" s="33"/>
    </x:row>
    <x:row r="363">
      <x:c r="P363" s="41"/>
      <x:c r="Q363" s="41"/>
      <x:c r="R363" s="33"/>
      <x:c r="S363" s="33"/>
      <x:c r="T363" s="33"/>
      <x:c r="U363" s="33"/>
      <x:c r="Y363" s="37"/>
      <x:c r="Z363" s="37"/>
      <x:c r="AJ363" s="33"/>
    </x:row>
    <x:row r="364">
      <x:c r="P364" s="41"/>
      <x:c r="Q364" s="41"/>
      <x:c r="R364" s="33"/>
      <x:c r="S364" s="33"/>
      <x:c r="T364" s="33"/>
      <x:c r="U364" s="33"/>
      <x:c r="Y364" s="37"/>
      <x:c r="Z364" s="37"/>
      <x:c r="AJ364" s="33"/>
    </x:row>
    <x:row r="365">
      <x:c r="P365" s="41"/>
      <x:c r="Q365" s="41"/>
      <x:c r="R365" s="33"/>
      <x:c r="S365" s="33"/>
      <x:c r="T365" s="33"/>
      <x:c r="U365" s="33"/>
      <x:c r="Y365" s="37"/>
      <x:c r="Z365" s="37"/>
      <x:c r="AJ365" s="33"/>
    </x:row>
    <x:row r="366">
      <x:c r="P366" s="41"/>
      <x:c r="Q366" s="41"/>
      <x:c r="R366" s="33"/>
      <x:c r="S366" s="33"/>
      <x:c r="T366" s="33"/>
      <x:c r="U366" s="33"/>
      <x:c r="Y366" s="37"/>
      <x:c r="Z366" s="37"/>
      <x:c r="AJ366" s="33"/>
    </x:row>
    <x:row r="367">
      <x:c r="P367" s="41"/>
      <x:c r="Q367" s="41"/>
      <x:c r="R367" s="33"/>
      <x:c r="S367" s="33"/>
      <x:c r="T367" s="33"/>
      <x:c r="U367" s="33"/>
      <x:c r="Y367" s="37"/>
      <x:c r="Z367" s="37"/>
      <x:c r="AJ367" s="33"/>
    </x:row>
    <x:row r="368">
      <x:c r="P368" s="41"/>
      <x:c r="Q368" s="41"/>
      <x:c r="R368" s="33"/>
      <x:c r="S368" s="33"/>
      <x:c r="T368" s="33"/>
      <x:c r="U368" s="33"/>
      <x:c r="Y368" s="37"/>
      <x:c r="Z368" s="37"/>
      <x:c r="AJ368" s="33"/>
    </x:row>
    <x:row r="369">
      <x:c r="P369" s="41"/>
      <x:c r="Q369" s="41"/>
      <x:c r="R369" s="33"/>
      <x:c r="S369" s="33"/>
      <x:c r="T369" s="33"/>
      <x:c r="U369" s="33"/>
      <x:c r="Y369" s="37"/>
      <x:c r="Z369" s="37"/>
      <x:c r="AJ369" s="33"/>
    </x:row>
    <x:row r="370">
      <x:c r="P370" s="41"/>
      <x:c r="Q370" s="41"/>
      <x:c r="R370" s="33"/>
      <x:c r="S370" s="33"/>
      <x:c r="T370" s="33"/>
      <x:c r="U370" s="33"/>
      <x:c r="Y370" s="37"/>
      <x:c r="Z370" s="37"/>
      <x:c r="AJ370" s="33"/>
    </x:row>
    <x:row r="371">
      <x:c r="P371" s="41"/>
      <x:c r="Q371" s="41"/>
      <x:c r="R371" s="33"/>
      <x:c r="S371" s="33"/>
      <x:c r="T371" s="33"/>
      <x:c r="U371" s="33"/>
      <x:c r="Y371" s="37"/>
      <x:c r="Z371" s="37"/>
      <x:c r="AJ371" s="33"/>
    </x:row>
    <x:row r="372">
      <x:c r="P372" s="41"/>
      <x:c r="Q372" s="41"/>
      <x:c r="R372" s="33"/>
      <x:c r="S372" s="33"/>
      <x:c r="T372" s="33"/>
      <x:c r="U372" s="33"/>
      <x:c r="Y372" s="37"/>
      <x:c r="Z372" s="37"/>
      <x:c r="AJ372" s="33"/>
    </x:row>
    <x:row r="373">
      <x:c r="P373" s="41"/>
      <x:c r="Q373" s="41"/>
      <x:c r="R373" s="33"/>
      <x:c r="S373" s="33"/>
      <x:c r="T373" s="33"/>
      <x:c r="U373" s="33"/>
      <x:c r="Y373" s="37"/>
      <x:c r="Z373" s="37"/>
      <x:c r="AJ373" s="33"/>
    </x:row>
    <x:row r="374">
      <x:c r="P374" s="41"/>
      <x:c r="Q374" s="41"/>
      <x:c r="R374" s="33"/>
      <x:c r="S374" s="33"/>
      <x:c r="T374" s="33"/>
      <x:c r="U374" s="33"/>
      <x:c r="Y374" s="37"/>
      <x:c r="Z374" s="37"/>
      <x:c r="AJ374" s="33"/>
    </x:row>
    <x:row r="375">
      <x:c r="P375" s="41"/>
      <x:c r="Q375" s="41"/>
      <x:c r="R375" s="33"/>
      <x:c r="S375" s="33"/>
      <x:c r="T375" s="33"/>
      <x:c r="U375" s="33"/>
      <x:c r="Y375" s="37"/>
      <x:c r="Z375" s="37"/>
      <x:c r="AJ375" s="33"/>
    </x:row>
    <x:row r="376">
      <x:c r="P376" s="41"/>
      <x:c r="Q376" s="41"/>
      <x:c r="R376" s="33"/>
      <x:c r="S376" s="33"/>
      <x:c r="T376" s="33"/>
      <x:c r="U376" s="33"/>
      <x:c r="Y376" s="37"/>
      <x:c r="Z376" s="37"/>
      <x:c r="AJ376" s="33"/>
    </x:row>
    <x:row r="377">
      <x:c r="P377" s="41"/>
      <x:c r="Q377" s="41"/>
      <x:c r="R377" s="33"/>
      <x:c r="S377" s="33"/>
      <x:c r="T377" s="33"/>
      <x:c r="U377" s="33"/>
      <x:c r="Y377" s="37"/>
      <x:c r="Z377" s="37"/>
      <x:c r="AJ377" s="33"/>
    </x:row>
    <x:row r="378">
      <x:c r="P378" s="41"/>
      <x:c r="Q378" s="41"/>
      <x:c r="R378" s="33"/>
      <x:c r="S378" s="33"/>
      <x:c r="T378" s="33"/>
      <x:c r="U378" s="33"/>
      <x:c r="Y378" s="37"/>
      <x:c r="Z378" s="37"/>
      <x:c r="AJ378" s="33"/>
    </x:row>
    <x:row r="379">
      <x:c r="P379" s="41"/>
      <x:c r="Q379" s="41"/>
      <x:c r="R379" s="33"/>
      <x:c r="S379" s="33"/>
      <x:c r="T379" s="33"/>
      <x:c r="U379" s="33"/>
      <x:c r="Y379" s="37"/>
      <x:c r="Z379" s="37"/>
      <x:c r="AJ379" s="33"/>
    </x:row>
    <x:row r="380">
      <x:c r="P380" s="41"/>
      <x:c r="Q380" s="41"/>
      <x:c r="R380" s="33"/>
      <x:c r="S380" s="33"/>
      <x:c r="T380" s="33"/>
      <x:c r="U380" s="33"/>
      <x:c r="Y380" s="37"/>
      <x:c r="Z380" s="37"/>
      <x:c r="AJ380" s="33"/>
    </x:row>
    <x:row r="381">
      <x:c r="P381" s="41"/>
      <x:c r="Q381" s="41"/>
      <x:c r="R381" s="33"/>
      <x:c r="S381" s="33"/>
      <x:c r="T381" s="33"/>
      <x:c r="U381" s="33"/>
      <x:c r="Y381" s="37"/>
      <x:c r="Z381" s="37"/>
      <x:c r="AJ381" s="33"/>
    </x:row>
    <x:row r="382">
      <x:c r="P382" s="41"/>
      <x:c r="Q382" s="41"/>
      <x:c r="R382" s="33"/>
      <x:c r="S382" s="33"/>
      <x:c r="T382" s="33"/>
      <x:c r="U382" s="33"/>
      <x:c r="Y382" s="37"/>
      <x:c r="Z382" s="37"/>
      <x:c r="AJ382" s="33"/>
    </x:row>
    <x:row r="383">
      <x:c r="P383" s="41"/>
      <x:c r="Q383" s="41"/>
      <x:c r="R383" s="33"/>
      <x:c r="S383" s="33"/>
      <x:c r="T383" s="33"/>
      <x:c r="U383" s="33"/>
      <x:c r="Y383" s="37"/>
      <x:c r="Z383" s="37"/>
      <x:c r="AJ383" s="33"/>
    </x:row>
    <x:row r="384">
      <x:c r="P384" s="41"/>
      <x:c r="Q384" s="41"/>
      <x:c r="R384" s="33"/>
      <x:c r="S384" s="33"/>
      <x:c r="T384" s="33"/>
      <x:c r="U384" s="33"/>
      <x:c r="Y384" s="37"/>
      <x:c r="Z384" s="37"/>
      <x:c r="AJ384" s="33"/>
    </x:row>
    <x:row r="385">
      <x:c r="P385" s="41"/>
      <x:c r="Q385" s="41"/>
      <x:c r="R385" s="33"/>
      <x:c r="S385" s="33"/>
      <x:c r="T385" s="33"/>
      <x:c r="U385" s="33"/>
      <x:c r="Y385" s="37"/>
      <x:c r="Z385" s="37"/>
      <x:c r="AJ385" s="33"/>
    </x:row>
    <x:row r="386">
      <x:c r="P386" s="41"/>
      <x:c r="Q386" s="41"/>
      <x:c r="R386" s="33"/>
      <x:c r="S386" s="33"/>
      <x:c r="T386" s="33"/>
      <x:c r="U386" s="33"/>
      <x:c r="Y386" s="37"/>
      <x:c r="Z386" s="37"/>
      <x:c r="AJ386" s="33"/>
    </x:row>
    <x:row r="387">
      <x:c r="P387" s="41"/>
      <x:c r="Q387" s="41"/>
      <x:c r="R387" s="33"/>
      <x:c r="S387" s="33"/>
      <x:c r="T387" s="33"/>
      <x:c r="U387" s="33"/>
      <x:c r="Y387" s="37"/>
      <x:c r="Z387" s="37"/>
      <x:c r="AJ387" s="33"/>
    </x:row>
    <x:row r="388">
      <x:c r="P388" s="41"/>
      <x:c r="Q388" s="41"/>
      <x:c r="R388" s="33"/>
      <x:c r="S388" s="33"/>
      <x:c r="T388" s="33"/>
      <x:c r="U388" s="33"/>
      <x:c r="Y388" s="37"/>
      <x:c r="Z388" s="37"/>
      <x:c r="AJ388" s="33"/>
    </x:row>
    <x:row r="389">
      <x:c r="P389" s="41"/>
      <x:c r="Q389" s="41"/>
      <x:c r="R389" s="33"/>
      <x:c r="S389" s="33"/>
      <x:c r="T389" s="33"/>
      <x:c r="U389" s="33"/>
      <x:c r="Y389" s="37"/>
      <x:c r="Z389" s="37"/>
      <x:c r="AJ389" s="33"/>
    </x:row>
    <x:row r="390">
      <x:c r="P390" s="41"/>
      <x:c r="Q390" s="41"/>
      <x:c r="R390" s="33"/>
      <x:c r="S390" s="33"/>
      <x:c r="T390" s="33"/>
      <x:c r="U390" s="33"/>
      <x:c r="Y390" s="37"/>
      <x:c r="Z390" s="37"/>
      <x:c r="AJ390" s="33"/>
    </x:row>
    <x:row r="391">
      <x:c r="P391" s="41"/>
      <x:c r="Q391" s="41"/>
      <x:c r="R391" s="33"/>
      <x:c r="S391" s="33"/>
      <x:c r="T391" s="33"/>
      <x:c r="U391" s="33"/>
      <x:c r="Y391" s="37"/>
      <x:c r="Z391" s="37"/>
      <x:c r="AJ391" s="33"/>
    </x:row>
    <x:row r="392">
      <x:c r="P392" s="41"/>
      <x:c r="Q392" s="41"/>
      <x:c r="R392" s="33"/>
      <x:c r="S392" s="33"/>
      <x:c r="T392" s="33"/>
      <x:c r="U392" s="33"/>
      <x:c r="Y392" s="37"/>
      <x:c r="Z392" s="37"/>
      <x:c r="AJ392" s="33"/>
    </x:row>
    <x:row r="393">
      <x:c r="P393" s="41"/>
      <x:c r="Q393" s="41"/>
      <x:c r="R393" s="33"/>
      <x:c r="S393" s="33"/>
      <x:c r="T393" s="33"/>
      <x:c r="U393" s="33"/>
      <x:c r="Y393" s="37"/>
      <x:c r="Z393" s="37"/>
      <x:c r="AJ393" s="33"/>
    </x:row>
    <x:row r="394">
      <x:c r="P394" s="41"/>
      <x:c r="Q394" s="41"/>
      <x:c r="R394" s="33"/>
      <x:c r="S394" s="33"/>
      <x:c r="T394" s="33"/>
      <x:c r="U394" s="33"/>
      <x:c r="Y394" s="37"/>
      <x:c r="Z394" s="37"/>
      <x:c r="AJ394" s="33"/>
    </x:row>
    <x:row r="395">
      <x:c r="P395" s="41"/>
      <x:c r="Q395" s="41"/>
      <x:c r="R395" s="33"/>
      <x:c r="S395" s="33"/>
      <x:c r="T395" s="33"/>
      <x:c r="U395" s="33"/>
      <x:c r="Y395" s="37"/>
      <x:c r="Z395" s="37"/>
      <x:c r="AJ395" s="33"/>
    </x:row>
    <x:row r="396">
      <x:c r="P396" s="41"/>
      <x:c r="Q396" s="41"/>
      <x:c r="R396" s="33"/>
      <x:c r="S396" s="33"/>
      <x:c r="T396" s="33"/>
      <x:c r="U396" s="33"/>
      <x:c r="Y396" s="37"/>
      <x:c r="Z396" s="37"/>
      <x:c r="AJ396" s="33"/>
    </x:row>
    <x:row r="397">
      <x:c r="P397" s="41"/>
      <x:c r="Q397" s="41"/>
      <x:c r="R397" s="33"/>
      <x:c r="S397" s="33"/>
      <x:c r="T397" s="33"/>
      <x:c r="U397" s="33"/>
      <x:c r="Y397" s="37"/>
      <x:c r="Z397" s="37"/>
      <x:c r="AJ397" s="33"/>
    </x:row>
    <x:row r="398">
      <x:c r="P398" s="41"/>
      <x:c r="Q398" s="41"/>
      <x:c r="R398" s="33"/>
      <x:c r="S398" s="33"/>
      <x:c r="T398" s="33"/>
      <x:c r="U398" s="33"/>
      <x:c r="Y398" s="37"/>
      <x:c r="Z398" s="37"/>
      <x:c r="AJ398" s="33"/>
    </x:row>
    <x:row r="399">
      <x:c r="P399" s="41"/>
      <x:c r="Q399" s="41"/>
      <x:c r="R399" s="33"/>
      <x:c r="S399" s="33"/>
      <x:c r="T399" s="33"/>
      <x:c r="U399" s="33"/>
      <x:c r="Y399" s="37"/>
      <x:c r="Z399" s="37"/>
      <x:c r="AJ399" s="33"/>
    </x:row>
    <x:row r="400">
      <x:c r="P400" s="41"/>
      <x:c r="Q400" s="41"/>
      <x:c r="R400" s="33"/>
      <x:c r="S400" s="33"/>
      <x:c r="T400" s="33"/>
      <x:c r="U400" s="33"/>
      <x:c r="Y400" s="37"/>
      <x:c r="Z400" s="37"/>
      <x:c r="AJ400" s="33"/>
    </x:row>
    <x:row r="401">
      <x:c r="P401" s="41"/>
      <x:c r="Q401" s="41"/>
      <x:c r="R401" s="33"/>
      <x:c r="S401" s="33"/>
      <x:c r="T401" s="33"/>
      <x:c r="U401" s="33"/>
      <x:c r="Y401" s="37"/>
      <x:c r="Z401" s="37"/>
      <x:c r="AJ401" s="33"/>
    </x:row>
    <x:row r="402">
      <x:c r="P402" s="41"/>
      <x:c r="Q402" s="41"/>
      <x:c r="R402" s="33"/>
      <x:c r="S402" s="33"/>
      <x:c r="T402" s="33"/>
      <x:c r="U402" s="33"/>
      <x:c r="Y402" s="37"/>
      <x:c r="Z402" s="37"/>
      <x:c r="AJ402" s="33"/>
    </x:row>
    <x:row r="403">
      <x:c r="P403" s="41"/>
      <x:c r="Q403" s="41"/>
      <x:c r="R403" s="33"/>
      <x:c r="S403" s="33"/>
      <x:c r="T403" s="33"/>
      <x:c r="U403" s="33"/>
      <x:c r="Y403" s="37"/>
      <x:c r="Z403" s="37"/>
      <x:c r="AJ403" s="33"/>
    </x:row>
    <x:row r="404">
      <x:c r="P404" s="41"/>
      <x:c r="Q404" s="41"/>
      <x:c r="R404" s="33"/>
      <x:c r="S404" s="33"/>
      <x:c r="T404" s="33"/>
      <x:c r="U404" s="33"/>
      <x:c r="Y404" s="37"/>
      <x:c r="Z404" s="37"/>
      <x:c r="AJ404" s="33"/>
    </x:row>
    <x:row r="405">
      <x:c r="P405" s="41"/>
      <x:c r="Q405" s="41"/>
      <x:c r="R405" s="33"/>
      <x:c r="S405" s="33"/>
      <x:c r="T405" s="33"/>
      <x:c r="U405" s="33"/>
      <x:c r="Y405" s="37"/>
      <x:c r="Z405" s="37"/>
      <x:c r="AJ405" s="33"/>
    </x:row>
    <x:row r="406">
      <x:c r="P406" s="41"/>
      <x:c r="Q406" s="41"/>
      <x:c r="R406" s="33"/>
      <x:c r="S406" s="33"/>
      <x:c r="T406" s="33"/>
      <x:c r="U406" s="33"/>
      <x:c r="Y406" s="37"/>
      <x:c r="Z406" s="37"/>
      <x:c r="AJ406" s="33"/>
    </x:row>
    <x:row r="407">
      <x:c r="P407" s="41"/>
      <x:c r="Q407" s="41"/>
      <x:c r="R407" s="33"/>
      <x:c r="S407" s="33"/>
      <x:c r="T407" s="33"/>
      <x:c r="U407" s="33"/>
      <x:c r="Y407" s="37"/>
      <x:c r="Z407" s="37"/>
      <x:c r="AJ407" s="33"/>
    </x:row>
    <x:row r="408">
      <x:c r="P408" s="41"/>
      <x:c r="Q408" s="41"/>
      <x:c r="R408" s="33"/>
      <x:c r="S408" s="33"/>
      <x:c r="T408" s="33"/>
      <x:c r="U408" s="33"/>
      <x:c r="Y408" s="37"/>
      <x:c r="Z408" s="37"/>
      <x:c r="AJ408" s="33"/>
    </x:row>
    <x:row r="409">
      <x:c r="P409" s="41"/>
      <x:c r="Q409" s="41"/>
      <x:c r="R409" s="33"/>
      <x:c r="S409" s="33"/>
      <x:c r="T409" s="33"/>
      <x:c r="U409" s="33"/>
      <x:c r="Y409" s="37"/>
      <x:c r="Z409" s="37"/>
      <x:c r="AJ409" s="33"/>
    </x:row>
    <x:row r="410">
      <x:c r="P410" s="41"/>
      <x:c r="Q410" s="41"/>
      <x:c r="R410" s="33"/>
      <x:c r="S410" s="33"/>
      <x:c r="T410" s="33"/>
      <x:c r="U410" s="33"/>
      <x:c r="Y410" s="37"/>
      <x:c r="Z410" s="37"/>
      <x:c r="AJ410" s="33"/>
    </x:row>
    <x:row r="411">
      <x:c r="P411" s="41"/>
      <x:c r="Q411" s="41"/>
      <x:c r="R411" s="33"/>
      <x:c r="S411" s="33"/>
      <x:c r="T411" s="33"/>
      <x:c r="U411" s="33"/>
      <x:c r="Y411" s="37"/>
      <x:c r="Z411" s="37"/>
      <x:c r="AJ411" s="33"/>
    </x:row>
    <x:row r="412">
      <x:c r="P412" s="41"/>
      <x:c r="Q412" s="41"/>
      <x:c r="R412" s="33"/>
      <x:c r="S412" s="33"/>
      <x:c r="T412" s="33"/>
      <x:c r="U412" s="33"/>
      <x:c r="Y412" s="37"/>
      <x:c r="Z412" s="37"/>
      <x:c r="AJ412" s="33"/>
    </x:row>
    <x:row r="413">
      <x:c r="P413" s="41"/>
      <x:c r="Q413" s="41"/>
      <x:c r="R413" s="33"/>
      <x:c r="S413" s="33"/>
      <x:c r="T413" s="33"/>
      <x:c r="U413" s="33"/>
      <x:c r="Y413" s="37"/>
      <x:c r="Z413" s="37"/>
      <x:c r="AJ413" s="33"/>
    </x:row>
    <x:row r="414">
      <x:c r="P414" s="41"/>
      <x:c r="Q414" s="41"/>
      <x:c r="R414" s="33"/>
      <x:c r="S414" s="33"/>
      <x:c r="T414" s="33"/>
      <x:c r="U414" s="33"/>
      <x:c r="Y414" s="37"/>
      <x:c r="Z414" s="37"/>
      <x:c r="AJ414" s="33"/>
    </x:row>
    <x:row r="415">
      <x:c r="P415" s="41"/>
      <x:c r="Q415" s="41"/>
      <x:c r="R415" s="33"/>
      <x:c r="S415" s="33"/>
      <x:c r="T415" s="33"/>
      <x:c r="U415" s="33"/>
      <x:c r="Y415" s="37"/>
      <x:c r="Z415" s="37"/>
      <x:c r="AJ415" s="33"/>
    </x:row>
    <x:row r="416">
      <x:c r="P416" s="41"/>
      <x:c r="Q416" s="41"/>
      <x:c r="R416" s="33"/>
      <x:c r="S416" s="33"/>
      <x:c r="T416" s="33"/>
      <x:c r="U416" s="33"/>
      <x:c r="Y416" s="37"/>
      <x:c r="Z416" s="37"/>
      <x:c r="AJ416" s="33"/>
    </x:row>
    <x:row r="417">
      <x:c r="P417" s="41"/>
      <x:c r="Q417" s="41"/>
      <x:c r="R417" s="33"/>
      <x:c r="S417" s="33"/>
      <x:c r="T417" s="33"/>
      <x:c r="U417" s="33"/>
      <x:c r="Y417" s="37"/>
      <x:c r="Z417" s="37"/>
      <x:c r="AJ417" s="33"/>
    </x:row>
    <x:row r="418">
      <x:c r="P418" s="41"/>
      <x:c r="Q418" s="41"/>
      <x:c r="R418" s="33"/>
      <x:c r="S418" s="33"/>
      <x:c r="T418" s="33"/>
      <x:c r="U418" s="33"/>
      <x:c r="Y418" s="37"/>
      <x:c r="Z418" s="37"/>
      <x:c r="AJ418" s="33"/>
    </x:row>
    <x:row r="419">
      <x:c r="P419" s="41"/>
      <x:c r="Q419" s="41"/>
      <x:c r="R419" s="33"/>
      <x:c r="S419" s="33"/>
      <x:c r="T419" s="33"/>
      <x:c r="U419" s="33"/>
      <x:c r="Y419" s="37"/>
      <x:c r="Z419" s="37"/>
      <x:c r="AJ419" s="33"/>
    </x:row>
    <x:row r="420">
      <x:c r="P420" s="41"/>
      <x:c r="Q420" s="41"/>
      <x:c r="R420" s="33"/>
      <x:c r="S420" s="33"/>
      <x:c r="T420" s="33"/>
      <x:c r="U420" s="33"/>
      <x:c r="Y420" s="37"/>
      <x:c r="Z420" s="37"/>
      <x:c r="AJ420" s="33"/>
    </x:row>
    <x:row r="421">
      <x:c r="P421" s="41"/>
      <x:c r="Q421" s="41"/>
      <x:c r="R421" s="33"/>
      <x:c r="S421" s="33"/>
      <x:c r="T421" s="33"/>
      <x:c r="U421" s="33"/>
      <x:c r="Y421" s="37"/>
      <x:c r="Z421" s="37"/>
      <x:c r="AJ421" s="33"/>
    </x:row>
    <x:row r="422">
      <x:c r="P422" s="41"/>
      <x:c r="Q422" s="41"/>
      <x:c r="R422" s="33"/>
      <x:c r="S422" s="33"/>
      <x:c r="T422" s="33"/>
      <x:c r="U422" s="33"/>
      <x:c r="Y422" s="37"/>
      <x:c r="Z422" s="37"/>
      <x:c r="AJ422" s="33"/>
    </x:row>
    <x:row r="423">
      <x:c r="P423" s="41"/>
      <x:c r="Q423" s="41"/>
      <x:c r="R423" s="33"/>
      <x:c r="S423" s="33"/>
      <x:c r="T423" s="33"/>
      <x:c r="U423" s="33"/>
      <x:c r="Y423" s="37"/>
      <x:c r="Z423" s="37"/>
      <x:c r="AJ423" s="33"/>
    </x:row>
    <x:row r="424">
      <x:c r="P424" s="41"/>
      <x:c r="Q424" s="41"/>
      <x:c r="R424" s="33"/>
      <x:c r="S424" s="33"/>
      <x:c r="T424" s="33"/>
      <x:c r="U424" s="33"/>
      <x:c r="Y424" s="37"/>
      <x:c r="Z424" s="37"/>
      <x:c r="AJ424" s="33"/>
    </x:row>
    <x:row r="425">
      <x:c r="P425" s="41"/>
      <x:c r="Q425" s="41"/>
      <x:c r="R425" s="33"/>
      <x:c r="S425" s="33"/>
      <x:c r="T425" s="33"/>
      <x:c r="U425" s="33"/>
      <x:c r="Y425" s="37"/>
      <x:c r="Z425" s="37"/>
      <x:c r="AJ425" s="33"/>
    </x:row>
    <x:row r="426">
      <x:c r="P426" s="41"/>
      <x:c r="Q426" s="41"/>
      <x:c r="R426" s="33"/>
      <x:c r="S426" s="33"/>
      <x:c r="T426" s="33"/>
      <x:c r="U426" s="33"/>
      <x:c r="Y426" s="37"/>
      <x:c r="Z426" s="37"/>
      <x:c r="AJ426" s="33"/>
    </x:row>
    <x:row r="427">
      <x:c r="P427" s="41"/>
      <x:c r="Q427" s="41"/>
      <x:c r="R427" s="33"/>
      <x:c r="S427" s="33"/>
      <x:c r="T427" s="33"/>
      <x:c r="U427" s="33"/>
      <x:c r="Y427" s="37"/>
      <x:c r="Z427" s="37"/>
      <x:c r="AJ427" s="33"/>
    </x:row>
    <x:row r="428">
      <x:c r="P428" s="41"/>
      <x:c r="Q428" s="41"/>
      <x:c r="R428" s="33"/>
      <x:c r="S428" s="33"/>
      <x:c r="T428" s="33"/>
      <x:c r="U428" s="33"/>
      <x:c r="Y428" s="37"/>
      <x:c r="Z428" s="37"/>
      <x:c r="AJ428" s="33"/>
    </x:row>
    <x:row r="429">
      <x:c r="P429" s="41"/>
      <x:c r="Q429" s="41"/>
      <x:c r="R429" s="33"/>
      <x:c r="S429" s="33"/>
      <x:c r="T429" s="33"/>
      <x:c r="U429" s="33"/>
      <x:c r="Y429" s="37"/>
      <x:c r="Z429" s="37"/>
      <x:c r="AJ429" s="33"/>
    </x:row>
    <x:row r="430">
      <x:c r="P430" s="41"/>
      <x:c r="Q430" s="41"/>
      <x:c r="R430" s="33"/>
      <x:c r="S430" s="33"/>
      <x:c r="T430" s="33"/>
      <x:c r="U430" s="33"/>
      <x:c r="Y430" s="37"/>
      <x:c r="Z430" s="37"/>
      <x:c r="AJ430" s="33"/>
    </x:row>
    <x:row r="431">
      <x:c r="P431" s="41"/>
      <x:c r="Q431" s="41"/>
      <x:c r="R431" s="33"/>
      <x:c r="S431" s="33"/>
      <x:c r="T431" s="33"/>
      <x:c r="U431" s="33"/>
      <x:c r="Y431" s="37"/>
      <x:c r="Z431" s="37"/>
      <x:c r="AJ431" s="33"/>
    </x:row>
    <x:row r="432">
      <x:c r="P432" s="41"/>
      <x:c r="Q432" s="41"/>
      <x:c r="R432" s="33"/>
      <x:c r="S432" s="33"/>
      <x:c r="T432" s="33"/>
      <x:c r="U432" s="33"/>
      <x:c r="Y432" s="37"/>
      <x:c r="Z432" s="37"/>
      <x:c r="AJ432" s="33"/>
    </x:row>
    <x:row r="433">
      <x:c r="P433" s="41"/>
      <x:c r="Q433" s="41"/>
      <x:c r="R433" s="33"/>
      <x:c r="S433" s="33"/>
      <x:c r="T433" s="33"/>
      <x:c r="U433" s="33"/>
      <x:c r="Y433" s="37"/>
      <x:c r="Z433" s="37"/>
      <x:c r="AJ433" s="33"/>
    </x:row>
    <x:row r="434">
      <x:c r="P434" s="41"/>
      <x:c r="Q434" s="41"/>
      <x:c r="R434" s="33"/>
      <x:c r="S434" s="33"/>
      <x:c r="T434" s="33"/>
      <x:c r="U434" s="33"/>
      <x:c r="Y434" s="37"/>
      <x:c r="Z434" s="37"/>
      <x:c r="AJ434" s="33"/>
    </x:row>
    <x:row r="435">
      <x:c r="P435" s="41"/>
      <x:c r="Q435" s="41"/>
      <x:c r="R435" s="33"/>
      <x:c r="S435" s="33"/>
      <x:c r="T435" s="33"/>
      <x:c r="U435" s="33"/>
      <x:c r="Y435" s="37"/>
      <x:c r="Z435" s="37"/>
      <x:c r="AJ435" s="33"/>
    </x:row>
    <x:row r="436">
      <x:c r="P436" s="41"/>
      <x:c r="Q436" s="41"/>
      <x:c r="R436" s="33"/>
      <x:c r="S436" s="33"/>
      <x:c r="T436" s="33"/>
      <x:c r="U436" s="33"/>
      <x:c r="Y436" s="37"/>
      <x:c r="Z436" s="37"/>
      <x:c r="AJ436" s="33"/>
    </x:row>
    <x:row r="437">
      <x:c r="P437" s="41"/>
      <x:c r="Q437" s="41"/>
      <x:c r="R437" s="33"/>
      <x:c r="S437" s="33"/>
      <x:c r="T437" s="33"/>
      <x:c r="U437" s="33"/>
      <x:c r="Y437" s="37"/>
      <x:c r="Z437" s="37"/>
      <x:c r="AJ437" s="33"/>
    </x:row>
    <x:row r="438">
      <x:c r="P438" s="41"/>
      <x:c r="Q438" s="41"/>
      <x:c r="R438" s="33"/>
      <x:c r="S438" s="33"/>
      <x:c r="T438" s="33"/>
      <x:c r="U438" s="33"/>
      <x:c r="Y438" s="37"/>
      <x:c r="Z438" s="37"/>
      <x:c r="AJ438" s="33"/>
    </x:row>
    <x:row r="439">
      <x:c r="P439" s="41"/>
      <x:c r="Q439" s="41"/>
      <x:c r="R439" s="33"/>
      <x:c r="S439" s="33"/>
      <x:c r="T439" s="33"/>
      <x:c r="U439" s="33"/>
      <x:c r="Y439" s="37"/>
      <x:c r="Z439" s="37"/>
      <x:c r="AJ439" s="33"/>
    </x:row>
    <x:row r="440">
      <x:c r="P440" s="41"/>
      <x:c r="Q440" s="41"/>
      <x:c r="R440" s="33"/>
      <x:c r="S440" s="33"/>
      <x:c r="T440" s="33"/>
      <x:c r="U440" s="33"/>
      <x:c r="Y440" s="37"/>
      <x:c r="Z440" s="37"/>
      <x:c r="AJ440" s="33"/>
    </x:row>
    <x:row r="441">
      <x:c r="P441" s="41"/>
      <x:c r="Q441" s="41"/>
      <x:c r="R441" s="33"/>
      <x:c r="S441" s="33"/>
      <x:c r="T441" s="33"/>
      <x:c r="U441" s="33"/>
      <x:c r="Y441" s="37"/>
      <x:c r="Z441" s="37"/>
      <x:c r="AJ441" s="33"/>
    </x:row>
    <x:row r="442">
      <x:c r="P442" s="41"/>
      <x:c r="Q442" s="41"/>
      <x:c r="R442" s="33"/>
      <x:c r="S442" s="33"/>
      <x:c r="T442" s="33"/>
      <x:c r="U442" s="33"/>
      <x:c r="Y442" s="37"/>
      <x:c r="Z442" s="37"/>
      <x:c r="AJ442" s="33"/>
    </x:row>
    <x:row r="443">
      <x:c r="P443" s="41"/>
      <x:c r="Q443" s="41"/>
      <x:c r="R443" s="33"/>
      <x:c r="S443" s="33"/>
      <x:c r="T443" s="33"/>
      <x:c r="U443" s="33"/>
      <x:c r="Y443" s="37"/>
      <x:c r="Z443" s="37"/>
      <x:c r="AJ443" s="33"/>
    </x:row>
    <x:row r="444">
      <x:c r="P444" s="41"/>
      <x:c r="Q444" s="41"/>
      <x:c r="R444" s="33"/>
      <x:c r="S444" s="33"/>
      <x:c r="T444" s="33"/>
      <x:c r="U444" s="33"/>
      <x:c r="Y444" s="37"/>
      <x:c r="Z444" s="37"/>
      <x:c r="AJ444" s="33"/>
    </x:row>
    <x:row r="445">
      <x:c r="P445" s="41"/>
      <x:c r="Q445" s="41"/>
      <x:c r="R445" s="33"/>
      <x:c r="S445" s="33"/>
      <x:c r="T445" s="33"/>
      <x:c r="U445" s="33"/>
      <x:c r="Y445" s="37"/>
      <x:c r="Z445" s="37"/>
      <x:c r="AJ445" s="33"/>
    </x:row>
    <x:row r="446">
      <x:c r="P446" s="41"/>
      <x:c r="Q446" s="41"/>
      <x:c r="R446" s="33"/>
      <x:c r="S446" s="33"/>
      <x:c r="T446" s="33"/>
      <x:c r="U446" s="33"/>
      <x:c r="Y446" s="37"/>
      <x:c r="Z446" s="37"/>
      <x:c r="AJ446" s="33"/>
    </x:row>
    <x:row r="447">
      <x:c r="P447" s="41"/>
      <x:c r="Q447" s="41"/>
      <x:c r="R447" s="33"/>
      <x:c r="S447" s="33"/>
      <x:c r="T447" s="33"/>
      <x:c r="U447" s="33"/>
      <x:c r="Y447" s="37"/>
      <x:c r="Z447" s="37"/>
      <x:c r="AJ447" s="33"/>
    </x:row>
    <x:row r="448">
      <x:c r="P448" s="41"/>
      <x:c r="Q448" s="41"/>
      <x:c r="R448" s="33"/>
      <x:c r="S448" s="33"/>
      <x:c r="T448" s="33"/>
      <x:c r="U448" s="33"/>
      <x:c r="Y448" s="37"/>
      <x:c r="Z448" s="37"/>
      <x:c r="AJ448" s="33"/>
    </x:row>
    <x:row r="449">
      <x:c r="P449" s="41"/>
      <x:c r="Q449" s="41"/>
      <x:c r="R449" s="33"/>
      <x:c r="S449" s="33"/>
      <x:c r="T449" s="33"/>
      <x:c r="U449" s="33"/>
      <x:c r="Y449" s="37"/>
      <x:c r="Z449" s="37"/>
      <x:c r="AJ449" s="33"/>
    </x:row>
    <x:row r="450">
      <x:c r="P450" s="41"/>
      <x:c r="Q450" s="41"/>
      <x:c r="R450" s="33"/>
      <x:c r="S450" s="33"/>
      <x:c r="T450" s="33"/>
      <x:c r="U450" s="33"/>
      <x:c r="Y450" s="37"/>
      <x:c r="Z450" s="37"/>
      <x:c r="AJ450" s="33"/>
    </x:row>
    <x:row r="451">
      <x:c r="P451" s="41"/>
      <x:c r="Q451" s="41"/>
      <x:c r="R451" s="33"/>
      <x:c r="S451" s="33"/>
      <x:c r="T451" s="33"/>
      <x:c r="U451" s="33"/>
      <x:c r="Y451" s="37"/>
      <x:c r="Z451" s="37"/>
      <x:c r="AJ451" s="33"/>
    </x:row>
    <x:row r="452">
      <x:c r="P452" s="41"/>
      <x:c r="Q452" s="41"/>
      <x:c r="R452" s="33"/>
      <x:c r="S452" s="33"/>
      <x:c r="T452" s="33"/>
      <x:c r="U452" s="33"/>
      <x:c r="Y452" s="37"/>
      <x:c r="Z452" s="37"/>
      <x:c r="AJ452" s="33"/>
    </x:row>
    <x:row r="453">
      <x:c r="P453" s="41"/>
      <x:c r="Q453" s="41"/>
      <x:c r="R453" s="33"/>
      <x:c r="S453" s="33"/>
      <x:c r="T453" s="33"/>
      <x:c r="U453" s="33"/>
      <x:c r="Y453" s="37"/>
      <x:c r="Z453" s="37"/>
      <x:c r="AJ453" s="33"/>
    </x:row>
    <x:row r="454">
      <x:c r="P454" s="41"/>
      <x:c r="Q454" s="41"/>
      <x:c r="R454" s="33"/>
      <x:c r="S454" s="33"/>
      <x:c r="T454" s="33"/>
      <x:c r="U454" s="33"/>
      <x:c r="Y454" s="37"/>
      <x:c r="Z454" s="37"/>
      <x:c r="AJ454" s="33"/>
    </x:row>
    <x:row r="455">
      <x:c r="P455" s="41"/>
      <x:c r="Q455" s="41"/>
      <x:c r="R455" s="33"/>
      <x:c r="S455" s="33"/>
      <x:c r="T455" s="33"/>
      <x:c r="U455" s="33"/>
      <x:c r="Y455" s="37"/>
      <x:c r="Z455" s="37"/>
      <x:c r="AJ455" s="33"/>
    </x:row>
    <x:row r="456">
      <x:c r="P456" s="41"/>
      <x:c r="Q456" s="41"/>
      <x:c r="R456" s="33"/>
      <x:c r="S456" s="33"/>
      <x:c r="T456" s="33"/>
      <x:c r="U456" s="33"/>
      <x:c r="Y456" s="37"/>
      <x:c r="Z456" s="37"/>
      <x:c r="AJ456" s="33"/>
    </x:row>
    <x:row r="457">
      <x:c r="P457" s="41"/>
      <x:c r="Q457" s="41"/>
      <x:c r="R457" s="33"/>
      <x:c r="S457" s="33"/>
      <x:c r="T457" s="33"/>
      <x:c r="U457" s="33"/>
      <x:c r="Y457" s="37"/>
      <x:c r="Z457" s="37"/>
      <x:c r="AJ457" s="33"/>
    </x:row>
    <x:row r="458">
      <x:c r="P458" s="41"/>
      <x:c r="Q458" s="41"/>
      <x:c r="R458" s="33"/>
      <x:c r="S458" s="33"/>
      <x:c r="T458" s="33"/>
      <x:c r="U458" s="33"/>
      <x:c r="Y458" s="37"/>
      <x:c r="Z458" s="37"/>
      <x:c r="AJ458" s="33"/>
    </x:row>
    <x:row r="459">
      <x:c r="P459" s="41"/>
      <x:c r="Q459" s="41"/>
      <x:c r="R459" s="33"/>
      <x:c r="S459" s="33"/>
      <x:c r="T459" s="33"/>
      <x:c r="U459" s="33"/>
      <x:c r="Y459" s="37"/>
      <x:c r="Z459" s="37"/>
      <x:c r="AJ459" s="33"/>
    </x:row>
    <x:row r="460">
      <x:c r="P460" s="41"/>
      <x:c r="Q460" s="41"/>
      <x:c r="R460" s="33"/>
      <x:c r="S460" s="33"/>
      <x:c r="T460" s="33"/>
      <x:c r="U460" s="33"/>
      <x:c r="Y460" s="37"/>
      <x:c r="Z460" s="37"/>
      <x:c r="AJ460" s="33"/>
    </x:row>
    <x:row r="461">
      <x:c r="P461" s="41"/>
      <x:c r="Q461" s="41"/>
      <x:c r="R461" s="33"/>
      <x:c r="S461" s="33"/>
      <x:c r="T461" s="33"/>
      <x:c r="U461" s="33"/>
      <x:c r="Y461" s="37"/>
      <x:c r="Z461" s="37"/>
      <x:c r="AJ461" s="33"/>
    </x:row>
    <x:row r="462">
      <x:c r="P462" s="41"/>
      <x:c r="Q462" s="41"/>
      <x:c r="R462" s="33"/>
      <x:c r="S462" s="33"/>
      <x:c r="T462" s="33"/>
      <x:c r="U462" s="33"/>
      <x:c r="Y462" s="37"/>
      <x:c r="Z462" s="37"/>
      <x:c r="AJ462" s="33"/>
    </x:row>
    <x:row r="463">
      <x:c r="P463" s="41"/>
      <x:c r="Q463" s="41"/>
      <x:c r="R463" s="33"/>
      <x:c r="S463" s="33"/>
      <x:c r="T463" s="33"/>
      <x:c r="U463" s="33"/>
      <x:c r="Y463" s="37"/>
      <x:c r="Z463" s="37"/>
      <x:c r="AJ463" s="33"/>
    </x:row>
    <x:row r="464">
      <x:c r="P464" s="41"/>
      <x:c r="Q464" s="41"/>
      <x:c r="R464" s="33"/>
      <x:c r="S464" s="33"/>
      <x:c r="T464" s="33"/>
      <x:c r="U464" s="33"/>
      <x:c r="Y464" s="37"/>
      <x:c r="Z464" s="37"/>
      <x:c r="AJ464" s="33"/>
    </x:row>
    <x:row r="465">
      <x:c r="P465" s="41"/>
      <x:c r="Q465" s="41"/>
      <x:c r="R465" s="33"/>
      <x:c r="S465" s="33"/>
      <x:c r="T465" s="33"/>
      <x:c r="U465" s="33"/>
      <x:c r="Y465" s="37"/>
      <x:c r="Z465" s="37"/>
      <x:c r="AJ465" s="33"/>
    </x:row>
    <x:row r="466">
      <x:c r="P466" s="41"/>
      <x:c r="Q466" s="41"/>
      <x:c r="R466" s="33"/>
      <x:c r="S466" s="33"/>
      <x:c r="T466" s="33"/>
      <x:c r="U466" s="33"/>
      <x:c r="Y466" s="37"/>
      <x:c r="Z466" s="37"/>
      <x:c r="AJ466" s="33"/>
    </x:row>
    <x:row r="467">
      <x:c r="P467" s="41"/>
      <x:c r="Q467" s="41"/>
      <x:c r="R467" s="33"/>
      <x:c r="S467" s="33"/>
      <x:c r="T467" s="33"/>
      <x:c r="U467" s="33"/>
      <x:c r="Y467" s="37"/>
      <x:c r="Z467" s="37"/>
      <x:c r="AJ467" s="33"/>
    </x:row>
    <x:row r="468">
      <x:c r="P468" s="41"/>
      <x:c r="Q468" s="41"/>
      <x:c r="R468" s="33"/>
      <x:c r="S468" s="33"/>
      <x:c r="T468" s="33"/>
      <x:c r="U468" s="33"/>
      <x:c r="Y468" s="37"/>
      <x:c r="Z468" s="37"/>
      <x:c r="AJ468" s="33"/>
    </x:row>
    <x:row r="469">
      <x:c r="P469" s="41"/>
      <x:c r="Q469" s="41"/>
      <x:c r="R469" s="33"/>
      <x:c r="S469" s="33"/>
      <x:c r="T469" s="33"/>
      <x:c r="U469" s="33"/>
      <x:c r="Y469" s="37"/>
      <x:c r="Z469" s="37"/>
      <x:c r="AJ469" s="33"/>
    </x:row>
    <x:row r="470">
      <x:c r="P470" s="41"/>
      <x:c r="Q470" s="41"/>
      <x:c r="R470" s="33"/>
      <x:c r="S470" s="33"/>
      <x:c r="T470" s="33"/>
      <x:c r="U470" s="33"/>
      <x:c r="Y470" s="37"/>
      <x:c r="Z470" s="37"/>
      <x:c r="AJ470" s="33"/>
    </x:row>
    <x:row r="471">
      <x:c r="P471" s="41"/>
      <x:c r="Q471" s="41"/>
      <x:c r="R471" s="33"/>
      <x:c r="S471" s="33"/>
      <x:c r="T471" s="33"/>
      <x:c r="U471" s="33"/>
      <x:c r="Y471" s="37"/>
      <x:c r="Z471" s="37"/>
      <x:c r="AJ471" s="33"/>
    </x:row>
    <x:row r="472">
      <x:c r="P472" s="41"/>
      <x:c r="Q472" s="41"/>
      <x:c r="R472" s="33"/>
      <x:c r="S472" s="33"/>
      <x:c r="T472" s="33"/>
      <x:c r="U472" s="33"/>
      <x:c r="Y472" s="37"/>
      <x:c r="Z472" s="37"/>
      <x:c r="AJ472" s="33"/>
    </x:row>
    <x:row r="473">
      <x:c r="P473" s="41"/>
      <x:c r="Q473" s="41"/>
      <x:c r="R473" s="33"/>
      <x:c r="S473" s="33"/>
      <x:c r="T473" s="33"/>
      <x:c r="U473" s="33"/>
      <x:c r="Y473" s="37"/>
      <x:c r="Z473" s="37"/>
      <x:c r="AJ473" s="33"/>
    </x:row>
    <x:row r="474">
      <x:c r="P474" s="41"/>
      <x:c r="Q474" s="41"/>
      <x:c r="R474" s="33"/>
      <x:c r="S474" s="33"/>
      <x:c r="T474" s="33"/>
      <x:c r="U474" s="33"/>
      <x:c r="Y474" s="37"/>
      <x:c r="Z474" s="37"/>
      <x:c r="AJ474" s="33"/>
    </x:row>
    <x:row r="475">
      <x:c r="P475" s="41"/>
      <x:c r="Q475" s="41"/>
      <x:c r="R475" s="33"/>
      <x:c r="S475" s="33"/>
      <x:c r="T475" s="33"/>
      <x:c r="U475" s="33"/>
      <x:c r="Y475" s="37"/>
      <x:c r="Z475" s="37"/>
      <x:c r="AJ475" s="33"/>
    </x:row>
    <x:row r="476">
      <x:c r="P476" s="41"/>
      <x:c r="Q476" s="41"/>
      <x:c r="R476" s="33"/>
      <x:c r="S476" s="33"/>
      <x:c r="T476" s="33"/>
      <x:c r="U476" s="33"/>
      <x:c r="Y476" s="37"/>
      <x:c r="Z476" s="37"/>
      <x:c r="AJ476" s="33"/>
    </x:row>
    <x:row r="477">
      <x:c r="P477" s="41"/>
      <x:c r="Q477" s="41"/>
      <x:c r="R477" s="33"/>
      <x:c r="S477" s="33"/>
      <x:c r="T477" s="33"/>
      <x:c r="U477" s="33"/>
      <x:c r="Y477" s="37"/>
      <x:c r="Z477" s="37"/>
      <x:c r="AJ477" s="33"/>
    </x:row>
    <x:row r="478">
      <x:c r="P478" s="41"/>
      <x:c r="Q478" s="41"/>
      <x:c r="R478" s="33"/>
      <x:c r="S478" s="33"/>
      <x:c r="T478" s="33"/>
      <x:c r="U478" s="33"/>
      <x:c r="Y478" s="37"/>
      <x:c r="Z478" s="37"/>
      <x:c r="AJ478" s="33"/>
    </x:row>
    <x:row r="479">
      <x:c r="P479" s="41"/>
      <x:c r="Q479" s="41"/>
      <x:c r="R479" s="33"/>
      <x:c r="S479" s="33"/>
      <x:c r="T479" s="33"/>
      <x:c r="U479" s="33"/>
      <x:c r="Y479" s="37"/>
      <x:c r="Z479" s="37"/>
      <x:c r="AJ479" s="33"/>
    </x:row>
    <x:row r="480">
      <x:c r="P480" s="41"/>
      <x:c r="Q480" s="41"/>
      <x:c r="R480" s="33"/>
      <x:c r="S480" s="33"/>
      <x:c r="T480" s="33"/>
      <x:c r="U480" s="33"/>
      <x:c r="Y480" s="37"/>
      <x:c r="Z480" s="37"/>
      <x:c r="AJ480" s="33"/>
    </x:row>
    <x:row r="481">
      <x:c r="P481" s="41"/>
      <x:c r="Q481" s="41"/>
      <x:c r="R481" s="33"/>
      <x:c r="S481" s="33"/>
      <x:c r="T481" s="33"/>
      <x:c r="U481" s="33"/>
      <x:c r="Y481" s="37"/>
      <x:c r="Z481" s="37"/>
      <x:c r="AJ481" s="33"/>
    </x:row>
    <x:row r="482">
      <x:c r="P482" s="41"/>
      <x:c r="Q482" s="41"/>
      <x:c r="R482" s="33"/>
      <x:c r="S482" s="33"/>
      <x:c r="T482" s="33"/>
      <x:c r="U482" s="33"/>
      <x:c r="Y482" s="37"/>
      <x:c r="Z482" s="37"/>
      <x:c r="AJ482" s="33"/>
    </x:row>
    <x:row r="483">
      <x:c r="P483" s="41"/>
      <x:c r="Q483" s="41"/>
      <x:c r="R483" s="33"/>
      <x:c r="S483" s="33"/>
      <x:c r="T483" s="33"/>
      <x:c r="U483" s="33"/>
      <x:c r="Y483" s="37"/>
      <x:c r="Z483" s="37"/>
      <x:c r="AJ483" s="33"/>
    </x:row>
    <x:row r="484">
      <x:c r="P484" s="41"/>
      <x:c r="Q484" s="41"/>
      <x:c r="R484" s="33"/>
      <x:c r="S484" s="33"/>
      <x:c r="T484" s="33"/>
      <x:c r="U484" s="33"/>
      <x:c r="Y484" s="37"/>
      <x:c r="Z484" s="37"/>
      <x:c r="AJ484" s="33"/>
    </x:row>
    <x:row r="485">
      <x:c r="P485" s="41"/>
      <x:c r="Q485" s="41"/>
      <x:c r="R485" s="33"/>
      <x:c r="S485" s="33"/>
      <x:c r="T485" s="33"/>
      <x:c r="U485" s="33"/>
      <x:c r="Y485" s="37"/>
      <x:c r="Z485" s="37"/>
      <x:c r="AJ485" s="33"/>
    </x:row>
    <x:row r="486">
      <x:c r="P486" s="41"/>
      <x:c r="Q486" s="41"/>
      <x:c r="R486" s="33"/>
      <x:c r="S486" s="33"/>
      <x:c r="T486" s="33"/>
      <x:c r="U486" s="33"/>
      <x:c r="Y486" s="37"/>
      <x:c r="Z486" s="37"/>
      <x:c r="AJ486" s="33"/>
    </x:row>
    <x:row r="487">
      <x:c r="P487" s="41"/>
      <x:c r="Q487" s="41"/>
      <x:c r="R487" s="33"/>
      <x:c r="S487" s="33"/>
      <x:c r="T487" s="33"/>
      <x:c r="U487" s="33"/>
      <x:c r="Y487" s="37"/>
      <x:c r="Z487" s="37"/>
      <x:c r="AJ487" s="33"/>
    </x:row>
    <x:row r="488">
      <x:c r="P488" s="41"/>
      <x:c r="Q488" s="41"/>
      <x:c r="R488" s="33"/>
      <x:c r="S488" s="33"/>
      <x:c r="T488" s="33"/>
      <x:c r="U488" s="33"/>
      <x:c r="Y488" s="37"/>
      <x:c r="Z488" s="37"/>
      <x:c r="AJ488" s="33"/>
    </x:row>
    <x:row r="489">
      <x:c r="P489" s="41"/>
      <x:c r="Q489" s="41"/>
      <x:c r="R489" s="33"/>
      <x:c r="S489" s="33"/>
      <x:c r="T489" s="33"/>
      <x:c r="U489" s="33"/>
      <x:c r="Y489" s="37"/>
      <x:c r="Z489" s="37"/>
      <x:c r="AJ489" s="33"/>
    </x:row>
    <x:row r="490">
      <x:c r="P490" s="41"/>
      <x:c r="Q490" s="41"/>
      <x:c r="R490" s="33"/>
      <x:c r="S490" s="33"/>
      <x:c r="T490" s="33"/>
      <x:c r="U490" s="33"/>
      <x:c r="Y490" s="37"/>
      <x:c r="Z490" s="37"/>
      <x:c r="AJ490" s="33"/>
    </x:row>
    <x:row r="491">
      <x:c r="P491" s="41"/>
      <x:c r="Q491" s="41"/>
      <x:c r="R491" s="33"/>
      <x:c r="S491" s="33"/>
      <x:c r="T491" s="33"/>
      <x:c r="U491" s="33"/>
      <x:c r="Y491" s="37"/>
      <x:c r="Z491" s="37"/>
      <x:c r="AJ491" s="33"/>
    </x:row>
    <x:row r="492">
      <x:c r="P492" s="41"/>
      <x:c r="Q492" s="41"/>
      <x:c r="R492" s="33"/>
      <x:c r="S492" s="33"/>
      <x:c r="T492" s="33"/>
      <x:c r="U492" s="33"/>
      <x:c r="Y492" s="37"/>
      <x:c r="Z492" s="37"/>
      <x:c r="AJ492" s="33"/>
    </x:row>
    <x:row r="493">
      <x:c r="P493" s="41"/>
      <x:c r="Q493" s="41"/>
      <x:c r="R493" s="33"/>
      <x:c r="S493" s="33"/>
      <x:c r="T493" s="33"/>
      <x:c r="U493" s="33"/>
      <x:c r="Y493" s="37"/>
      <x:c r="Z493" s="37"/>
      <x:c r="AJ493" s="33"/>
    </x:row>
    <x:row r="494">
      <x:c r="P494" s="41"/>
      <x:c r="Q494" s="41"/>
      <x:c r="R494" s="33"/>
      <x:c r="S494" s="33"/>
      <x:c r="T494" s="33"/>
      <x:c r="U494" s="33"/>
      <x:c r="Y494" s="37"/>
      <x:c r="Z494" s="37"/>
      <x:c r="AJ494" s="33"/>
    </x:row>
    <x:row r="495">
      <x:c r="P495" s="41"/>
      <x:c r="Q495" s="41"/>
      <x:c r="R495" s="33"/>
      <x:c r="S495" s="33"/>
      <x:c r="T495" s="33"/>
      <x:c r="U495" s="33"/>
      <x:c r="Y495" s="37"/>
      <x:c r="Z495" s="37"/>
      <x:c r="AJ495" s="33"/>
    </x:row>
    <x:row r="496">
      <x:c r="P496" s="41"/>
      <x:c r="Q496" s="41"/>
      <x:c r="R496" s="33"/>
      <x:c r="S496" s="33"/>
      <x:c r="T496" s="33"/>
      <x:c r="U496" s="33"/>
      <x:c r="Y496" s="37"/>
      <x:c r="Z496" s="37"/>
      <x:c r="AJ496" s="33"/>
    </x:row>
    <x:row r="497">
      <x:c r="P497" s="41"/>
      <x:c r="Q497" s="41"/>
      <x:c r="R497" s="33"/>
      <x:c r="S497" s="33"/>
      <x:c r="T497" s="33"/>
      <x:c r="U497" s="33"/>
      <x:c r="Y497" s="37"/>
      <x:c r="Z497" s="37"/>
      <x:c r="AJ497" s="33"/>
    </x:row>
    <x:row r="498">
      <x:c r="P498" s="41"/>
      <x:c r="Q498" s="41"/>
      <x:c r="R498" s="33"/>
      <x:c r="S498" s="33"/>
      <x:c r="T498" s="33"/>
      <x:c r="U498" s="33"/>
      <x:c r="Y498" s="37"/>
      <x:c r="Z498" s="37"/>
      <x:c r="AJ498" s="33"/>
    </x:row>
    <x:row r="499">
      <x:c r="P499" s="41"/>
      <x:c r="Q499" s="41"/>
      <x:c r="R499" s="33"/>
      <x:c r="S499" s="33"/>
      <x:c r="T499" s="33"/>
      <x:c r="U499" s="33"/>
      <x:c r="Y499" s="37"/>
      <x:c r="Z499" s="37"/>
      <x:c r="AJ499" s="33"/>
    </x:row>
    <x:row r="500">
      <x:c r="P500" s="41"/>
      <x:c r="Q500" s="41"/>
      <x:c r="R500" s="33"/>
      <x:c r="S500" s="33"/>
      <x:c r="T500" s="33"/>
      <x:c r="U500" s="33"/>
      <x:c r="Y500" s="37"/>
      <x:c r="Z500" s="37"/>
      <x:c r="AJ500" s="33"/>
    </x:row>
    <x:row r="501">
      <x:c r="P501" s="41"/>
      <x:c r="Q501" s="41"/>
      <x:c r="R501" s="33"/>
      <x:c r="S501" s="33"/>
      <x:c r="T501" s="33"/>
      <x:c r="U501" s="33"/>
      <x:c r="Y501" s="37"/>
      <x:c r="Z501" s="37"/>
      <x:c r="AJ501" s="33"/>
    </x:row>
    <x:row r="502">
      <x:c r="P502" s="41"/>
      <x:c r="Q502" s="41"/>
      <x:c r="R502" s="33"/>
      <x:c r="S502" s="33"/>
      <x:c r="T502" s="33"/>
      <x:c r="U502" s="33"/>
      <x:c r="Y502" s="37"/>
      <x:c r="Z502" s="37"/>
      <x:c r="AJ502" s="33"/>
    </x:row>
    <x:row r="503">
      <x:c r="P503" s="41"/>
      <x:c r="Q503" s="41"/>
      <x:c r="R503" s="33"/>
      <x:c r="S503" s="33"/>
      <x:c r="T503" s="33"/>
      <x:c r="U503" s="33"/>
      <x:c r="Y503" s="37"/>
      <x:c r="Z503" s="37"/>
      <x:c r="AJ503" s="33"/>
    </x:row>
    <x:row r="504">
      <x:c r="P504" s="41"/>
      <x:c r="Q504" s="41"/>
      <x:c r="R504" s="33"/>
      <x:c r="S504" s="33"/>
      <x:c r="T504" s="33"/>
      <x:c r="U504" s="33"/>
      <x:c r="Y504" s="37"/>
      <x:c r="Z504" s="37"/>
      <x:c r="AJ504" s="33"/>
    </x:row>
    <x:row r="505">
      <x:c r="P505" s="41"/>
      <x:c r="Q505" s="41"/>
      <x:c r="R505" s="33"/>
      <x:c r="S505" s="33"/>
      <x:c r="T505" s="33"/>
      <x:c r="U505" s="33"/>
      <x:c r="Y505" s="37"/>
      <x:c r="Z505" s="37"/>
      <x:c r="AJ505" s="33"/>
    </x:row>
    <x:row r="506">
      <x:c r="P506" s="41"/>
      <x:c r="Q506" s="41"/>
      <x:c r="R506" s="33"/>
      <x:c r="S506" s="33"/>
      <x:c r="T506" s="33"/>
      <x:c r="U506" s="33"/>
      <x:c r="Y506" s="37"/>
      <x:c r="Z506" s="37"/>
      <x:c r="AJ506" s="33"/>
    </x:row>
    <x:row r="507">
      <x:c r="P507" s="41"/>
      <x:c r="Q507" s="41"/>
      <x:c r="R507" s="33"/>
      <x:c r="S507" s="33"/>
      <x:c r="T507" s="33"/>
      <x:c r="U507" s="33"/>
      <x:c r="Y507" s="37"/>
      <x:c r="Z507" s="37"/>
      <x:c r="AJ507" s="33"/>
    </x:row>
    <x:row r="508">
      <x:c r="P508" s="41"/>
      <x:c r="Q508" s="41"/>
      <x:c r="R508" s="33"/>
      <x:c r="S508" s="33"/>
      <x:c r="T508" s="33"/>
      <x:c r="U508" s="33"/>
      <x:c r="Y508" s="37"/>
      <x:c r="Z508" s="37"/>
      <x:c r="AJ508" s="33"/>
    </x:row>
    <x:row r="509">
      <x:c r="P509" s="41"/>
      <x:c r="Q509" s="41"/>
      <x:c r="R509" s="33"/>
      <x:c r="S509" s="33"/>
      <x:c r="T509" s="33"/>
      <x:c r="U509" s="33"/>
      <x:c r="Y509" s="37"/>
      <x:c r="Z509" s="37"/>
      <x:c r="AJ509" s="33"/>
    </x:row>
    <x:row r="510">
      <x:c r="P510" s="41"/>
      <x:c r="Q510" s="41"/>
      <x:c r="R510" s="33"/>
      <x:c r="S510" s="33"/>
      <x:c r="T510" s="33"/>
      <x:c r="U510" s="33"/>
      <x:c r="Y510" s="37"/>
      <x:c r="Z510" s="37"/>
      <x:c r="AJ510" s="33"/>
    </x:row>
    <x:row r="511">
      <x:c r="P511" s="41"/>
      <x:c r="Q511" s="41"/>
      <x:c r="R511" s="33"/>
      <x:c r="S511" s="33"/>
      <x:c r="T511" s="33"/>
      <x:c r="U511" s="33"/>
      <x:c r="Y511" s="37"/>
      <x:c r="Z511" s="37"/>
      <x:c r="AJ511" s="33"/>
    </x:row>
    <x:row r="512">
      <x:c r="P512" s="41"/>
      <x:c r="Q512" s="41"/>
      <x:c r="R512" s="33"/>
      <x:c r="S512" s="33"/>
      <x:c r="T512" s="33"/>
      <x:c r="U512" s="33"/>
      <x:c r="Y512" s="37"/>
      <x:c r="Z512" s="37"/>
      <x:c r="AJ512" s="33"/>
    </x:row>
    <x:row r="513">
      <x:c r="P513" s="41"/>
      <x:c r="Q513" s="41"/>
      <x:c r="R513" s="33"/>
      <x:c r="S513" s="33"/>
      <x:c r="T513" s="33"/>
      <x:c r="U513" s="33"/>
      <x:c r="Y513" s="37"/>
      <x:c r="Z513" s="37"/>
      <x:c r="AJ513" s="33"/>
    </x:row>
    <x:row r="514">
      <x:c r="P514" s="41"/>
      <x:c r="Q514" s="41"/>
      <x:c r="R514" s="33"/>
      <x:c r="S514" s="33"/>
      <x:c r="T514" s="33"/>
      <x:c r="U514" s="33"/>
      <x:c r="Y514" s="37"/>
      <x:c r="Z514" s="37"/>
      <x:c r="AJ514" s="33"/>
    </x:row>
    <x:row r="515">
      <x:c r="P515" s="41"/>
      <x:c r="Q515" s="41"/>
      <x:c r="R515" s="33"/>
      <x:c r="S515" s="33"/>
      <x:c r="T515" s="33"/>
      <x:c r="U515" s="33"/>
      <x:c r="Y515" s="37"/>
      <x:c r="Z515" s="37"/>
      <x:c r="AJ515" s="33"/>
    </x:row>
    <x:row r="516">
      <x:c r="P516" s="41"/>
      <x:c r="Q516" s="41"/>
      <x:c r="R516" s="33"/>
      <x:c r="S516" s="33"/>
      <x:c r="T516" s="33"/>
      <x:c r="U516" s="33"/>
      <x:c r="Y516" s="37"/>
      <x:c r="Z516" s="37"/>
      <x:c r="AJ516" s="33"/>
    </x:row>
    <x:row r="517">
      <x:c r="P517" s="41"/>
      <x:c r="Q517" s="41"/>
      <x:c r="R517" s="33"/>
      <x:c r="S517" s="33"/>
      <x:c r="T517" s="33"/>
      <x:c r="U517" s="33"/>
      <x:c r="Y517" s="37"/>
      <x:c r="Z517" s="37"/>
      <x:c r="AJ517" s="33"/>
    </x:row>
    <x:row r="518">
      <x:c r="P518" s="41"/>
      <x:c r="Q518" s="41"/>
      <x:c r="R518" s="33"/>
      <x:c r="S518" s="33"/>
      <x:c r="T518" s="33"/>
      <x:c r="U518" s="33"/>
      <x:c r="Y518" s="37"/>
      <x:c r="Z518" s="37"/>
      <x:c r="AJ518" s="33"/>
    </x:row>
    <x:row r="519">
      <x:c r="P519" s="41"/>
      <x:c r="Q519" s="41"/>
      <x:c r="R519" s="33"/>
      <x:c r="S519" s="33"/>
      <x:c r="T519" s="33"/>
      <x:c r="U519" s="33"/>
      <x:c r="Y519" s="37"/>
      <x:c r="Z519" s="37"/>
      <x:c r="AJ519" s="33"/>
    </x:row>
    <x:row r="520">
      <x:c r="P520" s="41"/>
      <x:c r="Q520" s="41"/>
      <x:c r="R520" s="33"/>
      <x:c r="S520" s="33"/>
      <x:c r="T520" s="33"/>
      <x:c r="U520" s="33"/>
      <x:c r="Y520" s="37"/>
      <x:c r="Z520" s="37"/>
      <x:c r="AJ520" s="33"/>
    </x:row>
    <x:row r="521">
      <x:c r="P521" s="41"/>
      <x:c r="Q521" s="41"/>
      <x:c r="R521" s="33"/>
      <x:c r="S521" s="33"/>
      <x:c r="T521" s="33"/>
      <x:c r="U521" s="33"/>
      <x:c r="Y521" s="37"/>
      <x:c r="Z521" s="37"/>
      <x:c r="AJ521" s="33"/>
    </x:row>
    <x:row r="522">
      <x:c r="P522" s="41"/>
      <x:c r="Q522" s="41"/>
      <x:c r="R522" s="33"/>
      <x:c r="S522" s="33"/>
      <x:c r="T522" s="33"/>
      <x:c r="U522" s="33"/>
      <x:c r="Y522" s="37"/>
      <x:c r="Z522" s="37"/>
      <x:c r="AJ522" s="33"/>
    </x:row>
    <x:row r="523">
      <x:c r="P523" s="41"/>
      <x:c r="Q523" s="41"/>
      <x:c r="R523" s="33"/>
      <x:c r="S523" s="33"/>
      <x:c r="T523" s="33"/>
      <x:c r="U523" s="33"/>
      <x:c r="Y523" s="37"/>
      <x:c r="Z523" s="37"/>
      <x:c r="AJ523" s="33"/>
    </x:row>
    <x:row r="524">
      <x:c r="P524" s="41"/>
      <x:c r="Q524" s="41"/>
      <x:c r="R524" s="33"/>
      <x:c r="S524" s="33"/>
      <x:c r="T524" s="33"/>
      <x:c r="U524" s="33"/>
      <x:c r="Y524" s="37"/>
      <x:c r="Z524" s="37"/>
      <x:c r="AJ524" s="33"/>
    </x:row>
    <x:row r="525">
      <x:c r="P525" s="41"/>
      <x:c r="Q525" s="41"/>
      <x:c r="R525" s="33"/>
      <x:c r="S525" s="33"/>
      <x:c r="T525" s="33"/>
      <x:c r="U525" s="33"/>
      <x:c r="Y525" s="37"/>
      <x:c r="Z525" s="37"/>
      <x:c r="AJ525" s="33"/>
    </x:row>
    <x:row r="526">
      <x:c r="P526" s="41"/>
      <x:c r="Q526" s="41"/>
      <x:c r="R526" s="33"/>
      <x:c r="S526" s="33"/>
      <x:c r="T526" s="33"/>
      <x:c r="U526" s="33"/>
      <x:c r="Y526" s="37"/>
      <x:c r="Z526" s="37"/>
      <x:c r="AJ526" s="33"/>
    </x:row>
    <x:row r="527">
      <x:c r="P527" s="41"/>
      <x:c r="Q527" s="41"/>
      <x:c r="R527" s="33"/>
      <x:c r="S527" s="33"/>
      <x:c r="T527" s="33"/>
      <x:c r="U527" s="33"/>
      <x:c r="Y527" s="37"/>
      <x:c r="Z527" s="37"/>
      <x:c r="AJ527" s="33"/>
    </x:row>
    <x:row r="528">
      <x:c r="P528" s="41"/>
      <x:c r="Q528" s="41"/>
      <x:c r="R528" s="33"/>
      <x:c r="S528" s="33"/>
      <x:c r="T528" s="33"/>
      <x:c r="U528" s="33"/>
      <x:c r="Y528" s="37"/>
      <x:c r="Z528" s="37"/>
      <x:c r="AJ528" s="33"/>
    </x:row>
    <x:row r="529">
      <x:c r="P529" s="41"/>
      <x:c r="Q529" s="41"/>
      <x:c r="R529" s="33"/>
      <x:c r="S529" s="33"/>
      <x:c r="T529" s="33"/>
      <x:c r="U529" s="33"/>
      <x:c r="Y529" s="37"/>
      <x:c r="Z529" s="37"/>
      <x:c r="AJ529" s="33"/>
    </x:row>
    <x:row r="530">
      <x:c r="P530" s="41"/>
      <x:c r="Q530" s="41"/>
      <x:c r="R530" s="33"/>
      <x:c r="S530" s="33"/>
      <x:c r="T530" s="33"/>
      <x:c r="U530" s="33"/>
      <x:c r="Y530" s="37"/>
      <x:c r="Z530" s="37"/>
      <x:c r="AJ530" s="33"/>
    </x:row>
    <x:row r="531">
      <x:c r="P531" s="41"/>
      <x:c r="Q531" s="41"/>
      <x:c r="R531" s="33"/>
      <x:c r="S531" s="33"/>
      <x:c r="T531" s="33"/>
      <x:c r="U531" s="33"/>
      <x:c r="Y531" s="37"/>
      <x:c r="Z531" s="37"/>
      <x:c r="AJ531" s="33"/>
    </x:row>
    <x:row r="532">
      <x:c r="P532" s="41"/>
      <x:c r="Q532" s="41"/>
      <x:c r="R532" s="33"/>
      <x:c r="S532" s="33"/>
      <x:c r="T532" s="33"/>
      <x:c r="U532" s="33"/>
      <x:c r="Y532" s="37"/>
      <x:c r="Z532" s="37"/>
      <x:c r="AJ532" s="33"/>
    </x:row>
    <x:row r="533">
      <x:c r="P533" s="41"/>
      <x:c r="Q533" s="41"/>
      <x:c r="R533" s="33"/>
      <x:c r="S533" s="33"/>
      <x:c r="T533" s="33"/>
      <x:c r="U533" s="33"/>
      <x:c r="Y533" s="37"/>
      <x:c r="Z533" s="37"/>
      <x:c r="AJ533" s="33"/>
    </x:row>
    <x:row r="534">
      <x:c r="P534" s="41"/>
      <x:c r="Q534" s="41"/>
      <x:c r="R534" s="33"/>
      <x:c r="S534" s="33"/>
      <x:c r="T534" s="33"/>
      <x:c r="U534" s="33"/>
      <x:c r="Y534" s="37"/>
      <x:c r="Z534" s="37"/>
      <x:c r="AJ534" s="33"/>
    </x:row>
    <x:row r="535">
      <x:c r="P535" s="41"/>
      <x:c r="Q535" s="41"/>
      <x:c r="R535" s="33"/>
      <x:c r="S535" s="33"/>
      <x:c r="T535" s="33"/>
      <x:c r="U535" s="33"/>
      <x:c r="Y535" s="37"/>
      <x:c r="Z535" s="37"/>
      <x:c r="AJ535" s="33"/>
    </x:row>
    <x:row r="536">
      <x:c r="P536" s="41"/>
      <x:c r="Q536" s="41"/>
      <x:c r="R536" s="33"/>
      <x:c r="S536" s="33"/>
      <x:c r="T536" s="33"/>
      <x:c r="U536" s="33"/>
      <x:c r="Y536" s="37"/>
      <x:c r="Z536" s="37"/>
      <x:c r="AJ536" s="33"/>
    </x:row>
    <x:row r="537">
      <x:c r="P537" s="41"/>
      <x:c r="Q537" s="41"/>
      <x:c r="R537" s="33"/>
      <x:c r="S537" s="33"/>
      <x:c r="T537" s="33"/>
      <x:c r="U537" s="33"/>
      <x:c r="Y537" s="37"/>
      <x:c r="Z537" s="37"/>
      <x:c r="AJ537" s="33"/>
    </x:row>
    <x:row r="538">
      <x:c r="P538" s="41"/>
      <x:c r="Q538" s="41"/>
      <x:c r="R538" s="33"/>
      <x:c r="S538" s="33"/>
      <x:c r="T538" s="33"/>
      <x:c r="U538" s="33"/>
      <x:c r="Y538" s="37"/>
      <x:c r="Z538" s="37"/>
      <x:c r="AJ538" s="33"/>
    </x:row>
    <x:row r="539">
      <x:c r="P539" s="41"/>
      <x:c r="Q539" s="41"/>
      <x:c r="R539" s="33"/>
      <x:c r="S539" s="33"/>
      <x:c r="T539" s="33"/>
      <x:c r="U539" s="33"/>
      <x:c r="Y539" s="37"/>
      <x:c r="Z539" s="37"/>
      <x:c r="AJ539" s="33"/>
    </x:row>
    <x:row r="540">
      <x:c r="P540" s="41"/>
      <x:c r="Q540" s="41"/>
      <x:c r="R540" s="33"/>
      <x:c r="S540" s="33"/>
      <x:c r="T540" s="33"/>
      <x:c r="U540" s="33"/>
      <x:c r="Y540" s="37"/>
      <x:c r="Z540" s="37"/>
      <x:c r="AJ540" s="33"/>
    </x:row>
    <x:row r="541">
      <x:c r="P541" s="41"/>
      <x:c r="Q541" s="41"/>
      <x:c r="R541" s="33"/>
      <x:c r="S541" s="33"/>
      <x:c r="T541" s="33"/>
      <x:c r="U541" s="33"/>
      <x:c r="Y541" s="37"/>
      <x:c r="Z541" s="37"/>
      <x:c r="AJ541" s="33"/>
    </x:row>
    <x:row r="542">
      <x:c r="P542" s="41"/>
      <x:c r="Q542" s="41"/>
      <x:c r="R542" s="33"/>
      <x:c r="S542" s="33"/>
      <x:c r="T542" s="33"/>
      <x:c r="U542" s="33"/>
      <x:c r="Y542" s="37"/>
      <x:c r="Z542" s="37"/>
      <x:c r="AJ542" s="33"/>
    </x:row>
    <x:row r="543">
      <x:c r="P543" s="41"/>
      <x:c r="Q543" s="41"/>
      <x:c r="R543" s="33"/>
      <x:c r="S543" s="33"/>
      <x:c r="T543" s="33"/>
      <x:c r="U543" s="33"/>
      <x:c r="Y543" s="37"/>
      <x:c r="Z543" s="37"/>
      <x:c r="AJ543" s="33"/>
    </x:row>
    <x:row r="544">
      <x:c r="P544" s="41"/>
      <x:c r="Q544" s="41"/>
      <x:c r="R544" s="33"/>
      <x:c r="S544" s="33"/>
      <x:c r="T544" s="33"/>
      <x:c r="U544" s="33"/>
      <x:c r="Y544" s="37"/>
      <x:c r="Z544" s="37"/>
      <x:c r="AJ544" s="33"/>
    </x:row>
    <x:row r="545">
      <x:c r="P545" s="41"/>
      <x:c r="Q545" s="41"/>
      <x:c r="R545" s="33"/>
      <x:c r="S545" s="33"/>
      <x:c r="T545" s="33"/>
      <x:c r="U545" s="33"/>
      <x:c r="Y545" s="37"/>
      <x:c r="Z545" s="37"/>
      <x:c r="AJ545" s="33"/>
    </x:row>
    <x:row r="546">
      <x:c r="P546" s="41"/>
      <x:c r="Q546" s="41"/>
      <x:c r="R546" s="33"/>
      <x:c r="S546" s="33"/>
      <x:c r="T546" s="33"/>
      <x:c r="U546" s="33"/>
      <x:c r="Y546" s="37"/>
      <x:c r="Z546" s="37"/>
      <x:c r="AJ546" s="33"/>
    </x:row>
    <x:row r="547">
      <x:c r="P547" s="41"/>
      <x:c r="Q547" s="41"/>
      <x:c r="R547" s="33"/>
      <x:c r="S547" s="33"/>
      <x:c r="T547" s="33"/>
      <x:c r="U547" s="33"/>
      <x:c r="Y547" s="37"/>
      <x:c r="Z547" s="37"/>
      <x:c r="AJ547" s="33"/>
    </x:row>
    <x:row r="548">
      <x:c r="P548" s="41"/>
      <x:c r="Q548" s="41"/>
      <x:c r="R548" s="33"/>
      <x:c r="S548" s="33"/>
      <x:c r="T548" s="33"/>
      <x:c r="U548" s="33"/>
      <x:c r="Y548" s="37"/>
      <x:c r="Z548" s="37"/>
      <x:c r="AJ548" s="33"/>
    </x:row>
    <x:row r="549">
      <x:c r="P549" s="41"/>
      <x:c r="Q549" s="41"/>
      <x:c r="R549" s="33"/>
      <x:c r="S549" s="33"/>
      <x:c r="T549" s="33"/>
      <x:c r="U549" s="33"/>
      <x:c r="Y549" s="37"/>
      <x:c r="Z549" s="37"/>
      <x:c r="AJ549" s="33"/>
    </x:row>
    <x:row r="550">
      <x:c r="P550" s="41"/>
      <x:c r="Q550" s="41"/>
      <x:c r="R550" s="33"/>
      <x:c r="S550" s="33"/>
      <x:c r="T550" s="33"/>
      <x:c r="U550" s="33"/>
      <x:c r="Y550" s="37"/>
      <x:c r="Z550" s="37"/>
      <x:c r="AJ550" s="33"/>
    </x:row>
    <x:row r="551">
      <x:c r="P551" s="41"/>
      <x:c r="Q551" s="41"/>
      <x:c r="R551" s="33"/>
      <x:c r="S551" s="33"/>
      <x:c r="T551" s="33"/>
      <x:c r="U551" s="33"/>
      <x:c r="Y551" s="37"/>
      <x:c r="Z551" s="37"/>
      <x:c r="AJ551" s="33"/>
    </x:row>
    <x:row r="552">
      <x:c r="P552" s="41"/>
      <x:c r="Q552" s="41"/>
      <x:c r="R552" s="33"/>
      <x:c r="S552" s="33"/>
      <x:c r="T552" s="33"/>
      <x:c r="U552" s="33"/>
      <x:c r="Y552" s="37"/>
      <x:c r="Z552" s="37"/>
      <x:c r="AJ552" s="33"/>
    </x:row>
    <x:row r="553">
      <x:c r="P553" s="41"/>
      <x:c r="Q553" s="41"/>
      <x:c r="R553" s="33"/>
      <x:c r="S553" s="33"/>
      <x:c r="T553" s="33"/>
      <x:c r="U553" s="33"/>
      <x:c r="Y553" s="37"/>
      <x:c r="Z553" s="37"/>
      <x:c r="AJ553" s="33"/>
    </x:row>
    <x:row r="554">
      <x:c r="P554" s="41"/>
      <x:c r="Q554" s="41"/>
      <x:c r="R554" s="33"/>
      <x:c r="S554" s="33"/>
      <x:c r="T554" s="33"/>
      <x:c r="U554" s="33"/>
      <x:c r="Y554" s="37"/>
      <x:c r="Z554" s="37"/>
      <x:c r="AJ554" s="33"/>
    </x:row>
    <x:row r="555">
      <x:c r="P555" s="41"/>
      <x:c r="Q555" s="41"/>
      <x:c r="R555" s="33"/>
      <x:c r="S555" s="33"/>
      <x:c r="T555" s="33"/>
      <x:c r="U555" s="33"/>
      <x:c r="Y555" s="37"/>
      <x:c r="Z555" s="37"/>
      <x:c r="AJ555" s="33"/>
    </x:row>
    <x:row r="556">
      <x:c r="P556" s="41"/>
      <x:c r="Q556" s="41"/>
      <x:c r="R556" s="33"/>
      <x:c r="S556" s="33"/>
      <x:c r="T556" s="33"/>
      <x:c r="U556" s="33"/>
      <x:c r="Y556" s="37"/>
      <x:c r="Z556" s="37"/>
      <x:c r="AJ556" s="33"/>
    </x:row>
    <x:row r="557">
      <x:c r="P557" s="41"/>
      <x:c r="Q557" s="41"/>
      <x:c r="R557" s="33"/>
      <x:c r="S557" s="33"/>
      <x:c r="T557" s="33"/>
      <x:c r="U557" s="33"/>
      <x:c r="Y557" s="37"/>
      <x:c r="Z557" s="37"/>
      <x:c r="AJ557" s="33"/>
    </x:row>
    <x:row r="558">
      <x:c r="P558" s="41"/>
      <x:c r="Q558" s="41"/>
      <x:c r="R558" s="33"/>
      <x:c r="S558" s="33"/>
      <x:c r="T558" s="33"/>
      <x:c r="U558" s="33"/>
      <x:c r="Y558" s="37"/>
      <x:c r="Z558" s="37"/>
      <x:c r="AJ558" s="33"/>
    </x:row>
    <x:row r="559">
      <x:c r="P559" s="41"/>
      <x:c r="Q559" s="41"/>
      <x:c r="R559" s="33"/>
      <x:c r="S559" s="33"/>
      <x:c r="T559" s="33"/>
      <x:c r="U559" s="33"/>
      <x:c r="Y559" s="37"/>
      <x:c r="Z559" s="37"/>
      <x:c r="AJ559" s="33"/>
    </x:row>
    <x:row r="560">
      <x:c r="P560" s="41"/>
      <x:c r="Q560" s="41"/>
      <x:c r="R560" s="33"/>
      <x:c r="S560" s="33"/>
      <x:c r="T560" s="33"/>
      <x:c r="U560" s="33"/>
      <x:c r="Y560" s="37"/>
      <x:c r="Z560" s="37"/>
      <x:c r="AJ560" s="33"/>
    </x:row>
    <x:row r="561">
      <x:c r="P561" s="41"/>
      <x:c r="Q561" s="41"/>
      <x:c r="R561" s="33"/>
      <x:c r="S561" s="33"/>
      <x:c r="T561" s="33"/>
      <x:c r="U561" s="33"/>
      <x:c r="Y561" s="37"/>
      <x:c r="Z561" s="37"/>
      <x:c r="AJ561" s="33"/>
    </x:row>
    <x:row r="562">
      <x:c r="P562" s="41"/>
      <x:c r="Q562" s="41"/>
      <x:c r="R562" s="33"/>
      <x:c r="S562" s="33"/>
      <x:c r="T562" s="33"/>
      <x:c r="U562" s="33"/>
      <x:c r="Y562" s="37"/>
      <x:c r="Z562" s="37"/>
      <x:c r="AJ562" s="33"/>
    </x:row>
    <x:row r="563">
      <x:c r="P563" s="41"/>
      <x:c r="Q563" s="41"/>
      <x:c r="R563" s="33"/>
      <x:c r="S563" s="33"/>
      <x:c r="T563" s="33"/>
      <x:c r="U563" s="33"/>
      <x:c r="Y563" s="37"/>
      <x:c r="Z563" s="37"/>
      <x:c r="AJ563" s="33"/>
    </x:row>
    <x:row r="564">
      <x:c r="P564" s="41"/>
      <x:c r="Q564" s="41"/>
      <x:c r="R564" s="33"/>
      <x:c r="S564" s="33"/>
      <x:c r="T564" s="33"/>
      <x:c r="U564" s="33"/>
      <x:c r="Y564" s="37"/>
      <x:c r="Z564" s="37"/>
      <x:c r="AJ564" s="33"/>
    </x:row>
    <x:row r="565">
      <x:c r="P565" s="41"/>
      <x:c r="Q565" s="41"/>
      <x:c r="R565" s="33"/>
      <x:c r="S565" s="33"/>
      <x:c r="T565" s="33"/>
      <x:c r="U565" s="33"/>
      <x:c r="Y565" s="37"/>
      <x:c r="Z565" s="37"/>
      <x:c r="AJ565" s="33"/>
    </x:row>
    <x:row r="566">
      <x:c r="P566" s="41"/>
      <x:c r="Q566" s="41"/>
      <x:c r="R566" s="33"/>
      <x:c r="S566" s="33"/>
      <x:c r="T566" s="33"/>
      <x:c r="U566" s="33"/>
      <x:c r="Y566" s="37"/>
      <x:c r="Z566" s="37"/>
      <x:c r="AJ566" s="33"/>
    </x:row>
    <x:row r="567">
      <x:c r="P567" s="41"/>
      <x:c r="Q567" s="41"/>
      <x:c r="R567" s="33"/>
      <x:c r="S567" s="33"/>
      <x:c r="T567" s="33"/>
      <x:c r="U567" s="33"/>
      <x:c r="Y567" s="37"/>
      <x:c r="Z567" s="37"/>
      <x:c r="AJ567" s="33"/>
    </x:row>
    <x:row r="568">
      <x:c r="P568" s="41"/>
      <x:c r="Q568" s="41"/>
      <x:c r="R568" s="33"/>
      <x:c r="S568" s="33"/>
      <x:c r="T568" s="33"/>
      <x:c r="U568" s="33"/>
      <x:c r="Y568" s="37"/>
      <x:c r="Z568" s="37"/>
      <x:c r="AJ568" s="33"/>
    </x:row>
    <x:row r="569">
      <x:c r="P569" s="41"/>
      <x:c r="Q569" s="41"/>
      <x:c r="R569" s="33"/>
      <x:c r="S569" s="33"/>
      <x:c r="T569" s="33"/>
      <x:c r="U569" s="33"/>
      <x:c r="Y569" s="37"/>
      <x:c r="Z569" s="37"/>
      <x:c r="AJ569" s="33"/>
    </x:row>
    <x:row r="570">
      <x:c r="P570" s="41"/>
      <x:c r="Q570" s="41"/>
      <x:c r="R570" s="33"/>
      <x:c r="S570" s="33"/>
      <x:c r="T570" s="33"/>
      <x:c r="U570" s="33"/>
      <x:c r="Y570" s="37"/>
      <x:c r="Z570" s="37"/>
      <x:c r="AJ570" s="33"/>
    </x:row>
    <x:row r="571">
      <x:c r="P571" s="41"/>
      <x:c r="Q571" s="41"/>
      <x:c r="R571" s="33"/>
      <x:c r="S571" s="33"/>
      <x:c r="T571" s="33"/>
      <x:c r="U571" s="33"/>
      <x:c r="Y571" s="37"/>
      <x:c r="Z571" s="37"/>
      <x:c r="AJ571" s="33"/>
    </x:row>
    <x:row r="572">
      <x:c r="P572" s="41"/>
      <x:c r="Q572" s="41"/>
      <x:c r="R572" s="33"/>
      <x:c r="S572" s="33"/>
      <x:c r="T572" s="33"/>
      <x:c r="U572" s="33"/>
      <x:c r="Y572" s="37"/>
      <x:c r="Z572" s="37"/>
      <x:c r="AJ572" s="33"/>
    </x:row>
    <x:row r="573">
      <x:c r="P573" s="41"/>
      <x:c r="Q573" s="41"/>
      <x:c r="R573" s="33"/>
      <x:c r="S573" s="33"/>
      <x:c r="T573" s="33"/>
      <x:c r="U573" s="33"/>
      <x:c r="Y573" s="37"/>
      <x:c r="Z573" s="37"/>
      <x:c r="AJ573" s="33"/>
    </x:row>
    <x:row r="574">
      <x:c r="P574" s="41"/>
      <x:c r="Q574" s="41"/>
      <x:c r="R574" s="33"/>
      <x:c r="S574" s="33"/>
      <x:c r="T574" s="33"/>
      <x:c r="U574" s="33"/>
      <x:c r="Y574" s="37"/>
      <x:c r="Z574" s="37"/>
      <x:c r="AJ574" s="33"/>
    </x:row>
    <x:row r="575">
      <x:c r="P575" s="41"/>
      <x:c r="Q575" s="41"/>
      <x:c r="R575" s="33"/>
      <x:c r="S575" s="33"/>
      <x:c r="T575" s="33"/>
      <x:c r="U575" s="33"/>
      <x:c r="Y575" s="37"/>
      <x:c r="Z575" s="37"/>
      <x:c r="AJ575" s="33"/>
    </x:row>
    <x:row r="576">
      <x:c r="P576" s="41"/>
      <x:c r="Q576" s="41"/>
      <x:c r="R576" s="33"/>
      <x:c r="S576" s="33"/>
      <x:c r="T576" s="33"/>
      <x:c r="U576" s="33"/>
      <x:c r="Y576" s="37"/>
      <x:c r="Z576" s="37"/>
      <x:c r="AJ576" s="33"/>
    </x:row>
    <x:row r="577">
      <x:c r="P577" s="41"/>
      <x:c r="Q577" s="41"/>
      <x:c r="R577" s="33"/>
      <x:c r="S577" s="33"/>
      <x:c r="T577" s="33"/>
      <x:c r="U577" s="33"/>
      <x:c r="Y577" s="37"/>
      <x:c r="Z577" s="37"/>
      <x:c r="AJ577" s="33"/>
    </x:row>
    <x:row r="578">
      <x:c r="P578" s="41"/>
      <x:c r="Q578" s="41"/>
      <x:c r="R578" s="33"/>
      <x:c r="S578" s="33"/>
      <x:c r="T578" s="33"/>
      <x:c r="U578" s="33"/>
      <x:c r="Y578" s="37"/>
      <x:c r="Z578" s="37"/>
      <x:c r="AJ578" s="33"/>
    </x:row>
    <x:row r="579">
      <x:c r="P579" s="41"/>
      <x:c r="Q579" s="41"/>
      <x:c r="R579" s="33"/>
      <x:c r="S579" s="33"/>
      <x:c r="T579" s="33"/>
      <x:c r="U579" s="33"/>
      <x:c r="Y579" s="37"/>
      <x:c r="Z579" s="37"/>
      <x:c r="AJ579" s="33"/>
    </x:row>
    <x:row r="580">
      <x:c r="P580" s="41"/>
      <x:c r="Q580" s="41"/>
      <x:c r="R580" s="33"/>
      <x:c r="S580" s="33"/>
      <x:c r="T580" s="33"/>
      <x:c r="U580" s="33"/>
      <x:c r="Y580" s="37"/>
      <x:c r="Z580" s="37"/>
      <x:c r="AJ580" s="33"/>
    </x:row>
    <x:row r="581">
      <x:c r="P581" s="41"/>
      <x:c r="Q581" s="41"/>
      <x:c r="R581" s="33"/>
      <x:c r="S581" s="33"/>
      <x:c r="T581" s="33"/>
      <x:c r="U581" s="33"/>
      <x:c r="Y581" s="37"/>
      <x:c r="Z581" s="37"/>
      <x:c r="AJ581" s="33"/>
    </x:row>
    <x:row r="582">
      <x:c r="P582" s="41"/>
      <x:c r="Q582" s="41"/>
      <x:c r="R582" s="33"/>
      <x:c r="S582" s="33"/>
      <x:c r="T582" s="33"/>
      <x:c r="U582" s="33"/>
      <x:c r="Y582" s="37"/>
      <x:c r="Z582" s="37"/>
      <x:c r="AJ582" s="33"/>
    </x:row>
    <x:row r="583">
      <x:c r="P583" s="41"/>
      <x:c r="Q583" s="41"/>
      <x:c r="R583" s="33"/>
      <x:c r="S583" s="33"/>
      <x:c r="T583" s="33"/>
      <x:c r="U583" s="33"/>
      <x:c r="Y583" s="37"/>
      <x:c r="Z583" s="37"/>
      <x:c r="AJ583" s="33"/>
    </x:row>
    <x:row r="584">
      <x:c r="P584" s="41"/>
      <x:c r="Q584" s="41"/>
      <x:c r="R584" s="33"/>
      <x:c r="S584" s="33"/>
      <x:c r="T584" s="33"/>
      <x:c r="U584" s="33"/>
      <x:c r="Y584" s="37"/>
      <x:c r="Z584" s="37"/>
      <x:c r="AJ584" s="33"/>
    </x:row>
    <x:row r="585">
      <x:c r="P585" s="41"/>
      <x:c r="Q585" s="41"/>
      <x:c r="R585" s="33"/>
      <x:c r="S585" s="33"/>
      <x:c r="T585" s="33"/>
      <x:c r="U585" s="33"/>
      <x:c r="Y585" s="37"/>
      <x:c r="Z585" s="37"/>
      <x:c r="AJ585" s="33"/>
    </x:row>
    <x:row r="586">
      <x:c r="P586" s="41"/>
      <x:c r="Q586" s="41"/>
      <x:c r="R586" s="33"/>
      <x:c r="S586" s="33"/>
      <x:c r="T586" s="33"/>
      <x:c r="U586" s="33"/>
      <x:c r="Y586" s="37"/>
      <x:c r="Z586" s="37"/>
      <x:c r="AJ586" s="33"/>
    </x:row>
    <x:row r="587">
      <x:c r="P587" s="41"/>
      <x:c r="Q587" s="41"/>
      <x:c r="R587" s="33"/>
      <x:c r="S587" s="33"/>
      <x:c r="T587" s="33"/>
      <x:c r="U587" s="33"/>
      <x:c r="Y587" s="37"/>
      <x:c r="Z587" s="37"/>
      <x:c r="AJ587" s="33"/>
    </x:row>
    <x:row r="588">
      <x:c r="P588" s="41"/>
      <x:c r="Q588" s="41"/>
      <x:c r="R588" s="33"/>
      <x:c r="S588" s="33"/>
      <x:c r="T588" s="33"/>
      <x:c r="U588" s="33"/>
      <x:c r="Y588" s="37"/>
      <x:c r="Z588" s="37"/>
      <x:c r="AJ588" s="33"/>
    </x:row>
    <x:row r="589">
      <x:c r="P589" s="41"/>
      <x:c r="Q589" s="41"/>
      <x:c r="R589" s="33"/>
      <x:c r="S589" s="33"/>
      <x:c r="T589" s="33"/>
      <x:c r="U589" s="33"/>
      <x:c r="Y589" s="37"/>
      <x:c r="Z589" s="37"/>
      <x:c r="AJ589" s="33"/>
    </x:row>
    <x:row r="590">
      <x:c r="P590" s="41"/>
      <x:c r="Q590" s="41"/>
      <x:c r="R590" s="33"/>
      <x:c r="S590" s="33"/>
      <x:c r="T590" s="33"/>
      <x:c r="U590" s="33"/>
      <x:c r="Y590" s="37"/>
      <x:c r="Z590" s="37"/>
      <x:c r="AJ590" s="33"/>
    </x:row>
    <x:row r="591">
      <x:c r="P591" s="41"/>
      <x:c r="Q591" s="41"/>
      <x:c r="R591" s="33"/>
      <x:c r="S591" s="33"/>
      <x:c r="T591" s="33"/>
      <x:c r="U591" s="33"/>
      <x:c r="Y591" s="37"/>
      <x:c r="Z591" s="37"/>
      <x:c r="AJ591" s="33"/>
    </x:row>
    <x:row r="592">
      <x:c r="P592" s="41"/>
      <x:c r="Q592" s="41"/>
      <x:c r="R592" s="33"/>
      <x:c r="S592" s="33"/>
      <x:c r="T592" s="33"/>
      <x:c r="U592" s="33"/>
      <x:c r="Y592" s="37"/>
      <x:c r="Z592" s="37"/>
      <x:c r="AJ592" s="33"/>
    </x:row>
    <x:row r="593">
      <x:c r="P593" s="41"/>
      <x:c r="Q593" s="41"/>
      <x:c r="R593" s="33"/>
      <x:c r="S593" s="33"/>
      <x:c r="T593" s="33"/>
      <x:c r="U593" s="33"/>
      <x:c r="Y593" s="37"/>
      <x:c r="Z593" s="37"/>
      <x:c r="AJ593" s="33"/>
    </x:row>
    <x:row r="594">
      <x:c r="P594" s="41"/>
      <x:c r="Q594" s="41"/>
      <x:c r="R594" s="33"/>
      <x:c r="S594" s="33"/>
      <x:c r="T594" s="33"/>
      <x:c r="U594" s="33"/>
      <x:c r="Y594" s="37"/>
      <x:c r="Z594" s="37"/>
      <x:c r="AJ594" s="33"/>
    </x:row>
    <x:row r="595">
      <x:c r="P595" s="41"/>
      <x:c r="Q595" s="41"/>
      <x:c r="R595" s="33"/>
      <x:c r="S595" s="33"/>
      <x:c r="T595" s="33"/>
      <x:c r="U595" s="33"/>
      <x:c r="Y595" s="37"/>
      <x:c r="Z595" s="37"/>
      <x:c r="AJ595" s="33"/>
    </x:row>
    <x:row r="596">
      <x:c r="P596" s="41"/>
      <x:c r="Q596" s="41"/>
      <x:c r="R596" s="33"/>
      <x:c r="S596" s="33"/>
      <x:c r="T596" s="33"/>
      <x:c r="U596" s="33"/>
      <x:c r="Y596" s="37"/>
      <x:c r="Z596" s="37"/>
      <x:c r="AJ596" s="33"/>
    </x:row>
    <x:row r="597">
      <x:c r="P597" s="41"/>
      <x:c r="Q597" s="41"/>
      <x:c r="R597" s="33"/>
      <x:c r="S597" s="33"/>
      <x:c r="T597" s="33"/>
      <x:c r="U597" s="33"/>
      <x:c r="Y597" s="37"/>
      <x:c r="Z597" s="37"/>
      <x:c r="AJ597" s="33"/>
    </x:row>
    <x:row r="598">
      <x:c r="P598" s="41"/>
      <x:c r="Q598" s="41"/>
      <x:c r="R598" s="33"/>
      <x:c r="S598" s="33"/>
      <x:c r="T598" s="33"/>
      <x:c r="U598" s="33"/>
      <x:c r="Y598" s="37"/>
      <x:c r="Z598" s="37"/>
      <x:c r="AJ598" s="33"/>
    </x:row>
    <x:row r="599">
      <x:c r="P599" s="41"/>
      <x:c r="Q599" s="41"/>
      <x:c r="R599" s="33"/>
      <x:c r="S599" s="33"/>
      <x:c r="T599" s="33"/>
      <x:c r="U599" s="33"/>
      <x:c r="Y599" s="37"/>
      <x:c r="Z599" s="37"/>
      <x:c r="AJ599" s="33"/>
    </x:row>
    <x:row r="600">
      <x:c r="P600" s="41"/>
      <x:c r="Q600" s="41"/>
      <x:c r="R600" s="33"/>
      <x:c r="S600" s="33"/>
      <x:c r="T600" s="33"/>
      <x:c r="U600" s="33"/>
      <x:c r="Y600" s="37"/>
      <x:c r="Z600" s="37"/>
      <x:c r="AJ600" s="33"/>
    </x:row>
    <x:row r="601">
      <x:c r="P601" s="41"/>
      <x:c r="Q601" s="41"/>
      <x:c r="R601" s="33"/>
      <x:c r="S601" s="33"/>
      <x:c r="T601" s="33"/>
      <x:c r="U601" s="33"/>
      <x:c r="Y601" s="37"/>
      <x:c r="Z601" s="37"/>
      <x:c r="AJ601" s="33"/>
    </x:row>
    <x:row r="602">
      <x:c r="P602" s="41"/>
      <x:c r="Q602" s="41"/>
      <x:c r="R602" s="33"/>
      <x:c r="S602" s="33"/>
      <x:c r="T602" s="33"/>
      <x:c r="U602" s="33"/>
      <x:c r="Y602" s="37"/>
      <x:c r="Z602" s="37"/>
      <x:c r="AJ602" s="33"/>
    </x:row>
    <x:row r="603">
      <x:c r="P603" s="41"/>
      <x:c r="Q603" s="41"/>
      <x:c r="R603" s="33"/>
      <x:c r="S603" s="33"/>
      <x:c r="T603" s="33"/>
      <x:c r="U603" s="33"/>
      <x:c r="Y603" s="37"/>
      <x:c r="Z603" s="37"/>
      <x:c r="AJ603" s="33"/>
    </x:row>
    <x:row r="604">
      <x:c r="P604" s="41"/>
      <x:c r="Q604" s="41"/>
      <x:c r="R604" s="33"/>
      <x:c r="S604" s="33"/>
      <x:c r="T604" s="33"/>
      <x:c r="U604" s="33"/>
      <x:c r="Y604" s="37"/>
      <x:c r="Z604" s="37"/>
      <x:c r="AJ604" s="33"/>
    </x:row>
    <x:row r="605">
      <x:c r="P605" s="41"/>
      <x:c r="Q605" s="41"/>
      <x:c r="R605" s="33"/>
      <x:c r="S605" s="33"/>
      <x:c r="T605" s="33"/>
      <x:c r="U605" s="33"/>
      <x:c r="Y605" s="37"/>
      <x:c r="Z605" s="37"/>
      <x:c r="AJ605" s="33"/>
    </x:row>
    <x:row r="606">
      <x:c r="P606" s="41"/>
      <x:c r="Q606" s="41"/>
      <x:c r="R606" s="33"/>
      <x:c r="S606" s="33"/>
      <x:c r="T606" s="33"/>
      <x:c r="U606" s="33"/>
      <x:c r="Y606" s="37"/>
      <x:c r="Z606" s="37"/>
      <x:c r="AJ606" s="33"/>
    </x:row>
    <x:row r="607">
      <x:c r="P607" s="41"/>
      <x:c r="Q607" s="41"/>
      <x:c r="R607" s="33"/>
      <x:c r="S607" s="33"/>
      <x:c r="T607" s="33"/>
      <x:c r="U607" s="33"/>
      <x:c r="Y607" s="37"/>
      <x:c r="Z607" s="37"/>
      <x:c r="AJ607" s="33"/>
    </x:row>
    <x:row r="608">
      <x:c r="P608" s="41"/>
      <x:c r="Q608" s="41"/>
      <x:c r="R608" s="33"/>
      <x:c r="S608" s="33"/>
      <x:c r="T608" s="33"/>
      <x:c r="U608" s="33"/>
      <x:c r="Y608" s="37"/>
      <x:c r="Z608" s="37"/>
      <x:c r="AJ608" s="33"/>
    </x:row>
    <x:row r="609">
      <x:c r="P609" s="41"/>
      <x:c r="Q609" s="41"/>
      <x:c r="R609" s="33"/>
      <x:c r="S609" s="33"/>
      <x:c r="T609" s="33"/>
      <x:c r="U609" s="33"/>
      <x:c r="Y609" s="37"/>
      <x:c r="Z609" s="37"/>
      <x:c r="AJ609" s="33"/>
    </x:row>
    <x:row r="610">
      <x:c r="P610" s="41"/>
      <x:c r="Q610" s="41"/>
      <x:c r="R610" s="33"/>
      <x:c r="S610" s="33"/>
      <x:c r="T610" s="33"/>
      <x:c r="U610" s="33"/>
      <x:c r="Y610" s="37"/>
      <x:c r="Z610" s="37"/>
      <x:c r="AJ610" s="33"/>
    </x:row>
    <x:row r="611">
      <x:c r="P611" s="41"/>
      <x:c r="Q611" s="41"/>
      <x:c r="R611" s="33"/>
      <x:c r="S611" s="33"/>
      <x:c r="T611" s="33"/>
      <x:c r="U611" s="33"/>
      <x:c r="Y611" s="37"/>
      <x:c r="Z611" s="37"/>
      <x:c r="AJ611" s="33"/>
    </x:row>
    <x:row r="612">
      <x:c r="P612" s="41"/>
      <x:c r="Q612" s="41"/>
      <x:c r="R612" s="33"/>
      <x:c r="S612" s="33"/>
      <x:c r="T612" s="33"/>
      <x:c r="U612" s="33"/>
      <x:c r="Y612" s="37"/>
      <x:c r="Z612" s="37"/>
      <x:c r="AJ612" s="33"/>
    </x:row>
    <x:row r="613">
      <x:c r="P613" s="41"/>
      <x:c r="Q613" s="41"/>
      <x:c r="R613" s="33"/>
      <x:c r="S613" s="33"/>
      <x:c r="T613" s="33"/>
      <x:c r="U613" s="33"/>
      <x:c r="Y613" s="37"/>
      <x:c r="Z613" s="37"/>
      <x:c r="AJ613" s="33"/>
    </x:row>
    <x:row r="614">
      <x:c r="P614" s="41"/>
      <x:c r="Q614" s="41"/>
      <x:c r="R614" s="33"/>
      <x:c r="S614" s="33"/>
      <x:c r="T614" s="33"/>
      <x:c r="U614" s="33"/>
      <x:c r="Y614" s="37"/>
      <x:c r="Z614" s="37"/>
      <x:c r="AJ614" s="33"/>
    </x:row>
    <x:row r="615">
      <x:c r="P615" s="41"/>
      <x:c r="Q615" s="41"/>
      <x:c r="R615" s="33"/>
      <x:c r="S615" s="33"/>
      <x:c r="T615" s="33"/>
      <x:c r="U615" s="33"/>
      <x:c r="Y615" s="37"/>
      <x:c r="Z615" s="37"/>
      <x:c r="AJ615" s="33"/>
    </x:row>
    <x:row r="616">
      <x:c r="P616" s="41"/>
      <x:c r="Q616" s="41"/>
      <x:c r="R616" s="33"/>
      <x:c r="S616" s="33"/>
      <x:c r="T616" s="33"/>
      <x:c r="U616" s="33"/>
      <x:c r="Y616" s="37"/>
      <x:c r="Z616" s="37"/>
      <x:c r="AJ616" s="33"/>
    </x:row>
    <x:row r="617">
      <x:c r="P617" s="41"/>
      <x:c r="Q617" s="41"/>
      <x:c r="R617" s="33"/>
      <x:c r="S617" s="33"/>
      <x:c r="T617" s="33"/>
      <x:c r="U617" s="33"/>
      <x:c r="Y617" s="37"/>
      <x:c r="Z617" s="37"/>
      <x:c r="AJ617" s="33"/>
    </x:row>
    <x:row r="618">
      <x:c r="P618" s="41"/>
      <x:c r="Q618" s="41"/>
      <x:c r="R618" s="33"/>
      <x:c r="S618" s="33"/>
      <x:c r="T618" s="33"/>
      <x:c r="U618" s="33"/>
      <x:c r="Y618" s="37"/>
      <x:c r="Z618" s="37"/>
      <x:c r="AJ618" s="33"/>
    </x:row>
    <x:row r="619">
      <x:c r="P619" s="41"/>
      <x:c r="Q619" s="41"/>
      <x:c r="R619" s="33"/>
      <x:c r="S619" s="33"/>
      <x:c r="T619" s="33"/>
      <x:c r="U619" s="33"/>
      <x:c r="Y619" s="37"/>
      <x:c r="Z619" s="37"/>
      <x:c r="AJ619" s="33"/>
    </x:row>
    <x:row r="620">
      <x:c r="P620" s="41"/>
      <x:c r="Q620" s="41"/>
      <x:c r="R620" s="33"/>
      <x:c r="S620" s="33"/>
      <x:c r="T620" s="33"/>
      <x:c r="U620" s="33"/>
      <x:c r="Y620" s="37"/>
      <x:c r="Z620" s="37"/>
      <x:c r="AJ620" s="33"/>
    </x:row>
    <x:row r="621">
      <x:c r="P621" s="41"/>
      <x:c r="Q621" s="41"/>
      <x:c r="R621" s="33"/>
      <x:c r="S621" s="33"/>
      <x:c r="T621" s="33"/>
      <x:c r="U621" s="33"/>
      <x:c r="Y621" s="37"/>
      <x:c r="Z621" s="37"/>
      <x:c r="AJ621" s="33"/>
    </x:row>
    <x:row r="622">
      <x:c r="P622" s="41"/>
      <x:c r="Q622" s="41"/>
      <x:c r="R622" s="33"/>
      <x:c r="S622" s="33"/>
      <x:c r="T622" s="33"/>
      <x:c r="U622" s="33"/>
      <x:c r="Y622" s="37"/>
      <x:c r="Z622" s="37"/>
      <x:c r="AJ622" s="33"/>
    </x:row>
    <x:row r="623">
      <x:c r="P623" s="41"/>
      <x:c r="Q623" s="41"/>
      <x:c r="R623" s="33"/>
      <x:c r="S623" s="33"/>
      <x:c r="T623" s="33"/>
      <x:c r="U623" s="33"/>
      <x:c r="Y623" s="37"/>
      <x:c r="Z623" s="37"/>
      <x:c r="AJ623" s="33"/>
    </x:row>
    <x:row r="624">
      <x:c r="P624" s="41"/>
      <x:c r="Q624" s="41"/>
      <x:c r="R624" s="33"/>
      <x:c r="S624" s="33"/>
      <x:c r="T624" s="33"/>
      <x:c r="U624" s="33"/>
      <x:c r="Y624" s="37"/>
      <x:c r="Z624" s="37"/>
      <x:c r="AJ624" s="33"/>
    </x:row>
    <x:row r="625">
      <x:c r="P625" s="41"/>
      <x:c r="Q625" s="41"/>
      <x:c r="R625" s="33"/>
      <x:c r="S625" s="33"/>
      <x:c r="T625" s="33"/>
      <x:c r="U625" s="33"/>
      <x:c r="Y625" s="37"/>
      <x:c r="Z625" s="37"/>
      <x:c r="AJ625" s="33"/>
    </x:row>
    <x:row r="626">
      <x:c r="P626" s="41"/>
      <x:c r="Q626" s="41"/>
      <x:c r="R626" s="33"/>
      <x:c r="S626" s="33"/>
      <x:c r="T626" s="33"/>
      <x:c r="U626" s="33"/>
      <x:c r="Y626" s="37"/>
      <x:c r="Z626" s="37"/>
      <x:c r="AJ626" s="33"/>
    </x:row>
    <x:row r="627">
      <x:c r="P627" s="41"/>
      <x:c r="Q627" s="41"/>
      <x:c r="R627" s="33"/>
      <x:c r="S627" s="33"/>
      <x:c r="T627" s="33"/>
      <x:c r="U627" s="33"/>
      <x:c r="Y627" s="37"/>
      <x:c r="Z627" s="37"/>
      <x:c r="AJ627" s="33"/>
    </x:row>
    <x:row r="628">
      <x:c r="P628" s="41"/>
      <x:c r="Q628" s="41"/>
      <x:c r="R628" s="33"/>
      <x:c r="S628" s="33"/>
      <x:c r="T628" s="33"/>
      <x:c r="U628" s="33"/>
      <x:c r="Y628" s="37"/>
      <x:c r="Z628" s="37"/>
      <x:c r="AJ628" s="33"/>
    </x:row>
    <x:row r="629">
      <x:c r="P629" s="41"/>
      <x:c r="Q629" s="41"/>
      <x:c r="R629" s="33"/>
      <x:c r="S629" s="33"/>
      <x:c r="T629" s="33"/>
      <x:c r="U629" s="33"/>
      <x:c r="Y629" s="37"/>
      <x:c r="Z629" s="37"/>
      <x:c r="AJ629" s="33"/>
    </x:row>
    <x:row r="630">
      <x:c r="P630" s="41"/>
      <x:c r="Q630" s="41"/>
      <x:c r="R630" s="33"/>
      <x:c r="S630" s="33"/>
      <x:c r="T630" s="33"/>
      <x:c r="U630" s="33"/>
      <x:c r="Y630" s="37"/>
      <x:c r="Z630" s="37"/>
      <x:c r="AJ630" s="33"/>
    </x:row>
    <x:row r="631">
      <x:c r="P631" s="41"/>
      <x:c r="Q631" s="41"/>
      <x:c r="R631" s="33"/>
      <x:c r="S631" s="33"/>
      <x:c r="T631" s="33"/>
      <x:c r="U631" s="33"/>
      <x:c r="Y631" s="37"/>
      <x:c r="Z631" s="37"/>
      <x:c r="AJ631" s="33"/>
    </x:row>
    <x:row r="632">
      <x:c r="P632" s="41"/>
      <x:c r="Q632" s="41"/>
      <x:c r="R632" s="33"/>
      <x:c r="S632" s="33"/>
      <x:c r="T632" s="33"/>
      <x:c r="U632" s="33"/>
      <x:c r="Y632" s="37"/>
      <x:c r="Z632" s="37"/>
      <x:c r="AJ632" s="33"/>
    </x:row>
    <x:row r="633">
      <x:c r="P633" s="41"/>
      <x:c r="Q633" s="41"/>
      <x:c r="R633" s="33"/>
      <x:c r="S633" s="33"/>
      <x:c r="T633" s="33"/>
      <x:c r="U633" s="33"/>
      <x:c r="Y633" s="37"/>
      <x:c r="Z633" s="37"/>
      <x:c r="AJ633" s="33"/>
    </x:row>
    <x:row r="634">
      <x:c r="P634" s="41"/>
      <x:c r="Q634" s="41"/>
      <x:c r="R634" s="33"/>
      <x:c r="S634" s="33"/>
      <x:c r="T634" s="33"/>
      <x:c r="U634" s="33"/>
      <x:c r="Y634" s="37"/>
      <x:c r="Z634" s="37"/>
      <x:c r="AJ634" s="33"/>
    </x:row>
    <x:row r="635">
      <x:c r="P635" s="41"/>
      <x:c r="Q635" s="41"/>
      <x:c r="R635" s="33"/>
      <x:c r="S635" s="33"/>
      <x:c r="T635" s="33"/>
      <x:c r="U635" s="33"/>
      <x:c r="Y635" s="37"/>
      <x:c r="Z635" s="37"/>
      <x:c r="AJ635" s="33"/>
    </x:row>
    <x:row r="636">
      <x:c r="P636" s="41"/>
      <x:c r="Q636" s="41"/>
      <x:c r="R636" s="33"/>
      <x:c r="S636" s="33"/>
      <x:c r="T636" s="33"/>
      <x:c r="U636" s="33"/>
      <x:c r="Y636" s="37"/>
      <x:c r="Z636" s="37"/>
      <x:c r="AJ636" s="33"/>
    </x:row>
    <x:row r="637">
      <x:c r="P637" s="41"/>
      <x:c r="Q637" s="41"/>
      <x:c r="R637" s="33"/>
      <x:c r="S637" s="33"/>
      <x:c r="T637" s="33"/>
      <x:c r="U637" s="33"/>
      <x:c r="Y637" s="37"/>
      <x:c r="Z637" s="37"/>
      <x:c r="AJ637" s="33"/>
    </x:row>
    <x:row r="638">
      <x:c r="P638" s="41"/>
      <x:c r="Q638" s="41"/>
      <x:c r="R638" s="33"/>
      <x:c r="S638" s="33"/>
      <x:c r="T638" s="33"/>
      <x:c r="U638" s="33"/>
      <x:c r="Y638" s="37"/>
      <x:c r="Z638" s="37"/>
      <x:c r="AJ638" s="33"/>
    </x:row>
    <x:row r="639">
      <x:c r="P639" s="41"/>
      <x:c r="Q639" s="41"/>
      <x:c r="R639" s="33"/>
      <x:c r="S639" s="33"/>
      <x:c r="T639" s="33"/>
      <x:c r="U639" s="33"/>
      <x:c r="Y639" s="37"/>
      <x:c r="Z639" s="37"/>
      <x:c r="AJ639" s="33"/>
    </x:row>
    <x:row r="640">
      <x:c r="P640" s="41"/>
      <x:c r="Q640" s="41"/>
      <x:c r="R640" s="33"/>
      <x:c r="S640" s="33"/>
      <x:c r="T640" s="33"/>
      <x:c r="U640" s="33"/>
      <x:c r="Y640" s="37"/>
      <x:c r="Z640" s="37"/>
      <x:c r="AJ640" s="33"/>
    </x:row>
    <x:row r="641">
      <x:c r="P641" s="41"/>
      <x:c r="Q641" s="41"/>
      <x:c r="R641" s="33"/>
      <x:c r="S641" s="33"/>
      <x:c r="T641" s="33"/>
      <x:c r="U641" s="33"/>
      <x:c r="Y641" s="37"/>
      <x:c r="Z641" s="37"/>
      <x:c r="AJ641" s="33"/>
    </x:row>
    <x:row r="642">
      <x:c r="P642" s="41"/>
      <x:c r="Q642" s="41"/>
      <x:c r="R642" s="33"/>
      <x:c r="S642" s="33"/>
      <x:c r="T642" s="33"/>
      <x:c r="U642" s="33"/>
      <x:c r="Y642" s="37"/>
      <x:c r="Z642" s="37"/>
      <x:c r="AJ642" s="33"/>
    </x:row>
    <x:row r="643">
      <x:c r="P643" s="41"/>
      <x:c r="Q643" s="41"/>
      <x:c r="R643" s="33"/>
      <x:c r="S643" s="33"/>
      <x:c r="T643" s="33"/>
      <x:c r="U643" s="33"/>
      <x:c r="Y643" s="37"/>
      <x:c r="Z643" s="37"/>
      <x:c r="AJ643" s="33"/>
    </x:row>
    <x:row r="644">
      <x:c r="P644" s="41"/>
      <x:c r="Q644" s="41"/>
      <x:c r="R644" s="33"/>
      <x:c r="S644" s="33"/>
      <x:c r="T644" s="33"/>
      <x:c r="U644" s="33"/>
      <x:c r="Y644" s="37"/>
      <x:c r="Z644" s="37"/>
      <x:c r="AJ644" s="33"/>
    </x:row>
    <x:row r="645">
      <x:c r="P645" s="41"/>
      <x:c r="Q645" s="41"/>
      <x:c r="R645" s="33"/>
      <x:c r="S645" s="33"/>
      <x:c r="T645" s="33"/>
      <x:c r="U645" s="33"/>
      <x:c r="Y645" s="37"/>
      <x:c r="Z645" s="37"/>
      <x:c r="AJ645" s="33"/>
    </x:row>
    <x:row r="646">
      <x:c r="P646" s="41"/>
      <x:c r="Q646" s="41"/>
      <x:c r="R646" s="33"/>
      <x:c r="S646" s="33"/>
      <x:c r="T646" s="33"/>
      <x:c r="U646" s="33"/>
      <x:c r="Y646" s="37"/>
      <x:c r="Z646" s="37"/>
      <x:c r="AJ646" s="33"/>
    </x:row>
    <x:row r="647">
      <x:c r="P647" s="41"/>
      <x:c r="Q647" s="41"/>
      <x:c r="R647" s="33"/>
      <x:c r="S647" s="33"/>
      <x:c r="T647" s="33"/>
      <x:c r="U647" s="33"/>
      <x:c r="Y647" s="37"/>
      <x:c r="Z647" s="37"/>
      <x:c r="AJ647" s="33"/>
    </x:row>
    <x:row r="648">
      <x:c r="P648" s="41"/>
      <x:c r="Q648" s="41"/>
      <x:c r="R648" s="33"/>
      <x:c r="S648" s="33"/>
      <x:c r="T648" s="33"/>
      <x:c r="U648" s="33"/>
      <x:c r="Y648" s="37"/>
      <x:c r="Z648" s="37"/>
      <x:c r="AJ648" s="33"/>
    </x:row>
    <x:row r="649">
      <x:c r="P649" s="41"/>
      <x:c r="Q649" s="41"/>
      <x:c r="R649" s="33"/>
      <x:c r="S649" s="33"/>
      <x:c r="T649" s="33"/>
      <x:c r="U649" s="33"/>
      <x:c r="Y649" s="37"/>
      <x:c r="Z649" s="37"/>
      <x:c r="AJ649" s="33"/>
    </x:row>
    <x:row r="650">
      <x:c r="P650" s="41"/>
      <x:c r="Q650" s="41"/>
      <x:c r="R650" s="33"/>
      <x:c r="S650" s="33"/>
      <x:c r="T650" s="33"/>
      <x:c r="U650" s="33"/>
      <x:c r="Y650" s="37"/>
      <x:c r="Z650" s="37"/>
      <x:c r="AJ650" s="33"/>
    </x:row>
    <x:row r="651">
      <x:c r="P651" s="41"/>
      <x:c r="Q651" s="41"/>
      <x:c r="R651" s="33"/>
      <x:c r="S651" s="33"/>
      <x:c r="T651" s="33"/>
      <x:c r="U651" s="33"/>
      <x:c r="Y651" s="37"/>
      <x:c r="Z651" s="37"/>
      <x:c r="AJ651" s="33"/>
    </x:row>
    <x:row r="652">
      <x:c r="P652" s="41"/>
      <x:c r="Q652" s="41"/>
      <x:c r="R652" s="33"/>
      <x:c r="S652" s="33"/>
      <x:c r="T652" s="33"/>
      <x:c r="U652" s="33"/>
      <x:c r="Y652" s="37"/>
      <x:c r="Z652" s="37"/>
      <x:c r="AJ652" s="33"/>
    </x:row>
    <x:row r="653">
      <x:c r="P653" s="41"/>
      <x:c r="Q653" s="41"/>
      <x:c r="R653" s="33"/>
      <x:c r="S653" s="33"/>
      <x:c r="T653" s="33"/>
      <x:c r="U653" s="33"/>
      <x:c r="Y653" s="37"/>
      <x:c r="Z653" s="37"/>
      <x:c r="AJ653" s="33"/>
    </x:row>
    <x:row r="654">
      <x:c r="P654" s="41"/>
      <x:c r="Q654" s="41"/>
      <x:c r="R654" s="33"/>
      <x:c r="S654" s="33"/>
      <x:c r="T654" s="33"/>
      <x:c r="U654" s="33"/>
      <x:c r="Y654" s="37"/>
      <x:c r="Z654" s="37"/>
      <x:c r="AJ654" s="33"/>
    </x:row>
    <x:row r="655">
      <x:c r="P655" s="41"/>
      <x:c r="Q655" s="41"/>
      <x:c r="R655" s="33"/>
      <x:c r="S655" s="33"/>
      <x:c r="T655" s="33"/>
      <x:c r="U655" s="33"/>
      <x:c r="Y655" s="37"/>
      <x:c r="Z655" s="37"/>
      <x:c r="AJ655" s="33"/>
    </x:row>
    <x:row r="656">
      <x:c r="P656" s="41"/>
      <x:c r="Q656" s="41"/>
      <x:c r="R656" s="33"/>
      <x:c r="S656" s="33"/>
      <x:c r="T656" s="33"/>
      <x:c r="U656" s="33"/>
      <x:c r="Y656" s="37"/>
      <x:c r="Z656" s="37"/>
      <x:c r="AJ656" s="33"/>
    </x:row>
    <x:row r="657">
      <x:c r="P657" s="41"/>
      <x:c r="Q657" s="41"/>
      <x:c r="R657" s="33"/>
      <x:c r="S657" s="33"/>
      <x:c r="T657" s="33"/>
      <x:c r="U657" s="33"/>
      <x:c r="Y657" s="37"/>
      <x:c r="Z657" s="37"/>
      <x:c r="AJ657" s="33"/>
    </x:row>
    <x:row r="658">
      <x:c r="P658" s="41"/>
      <x:c r="Q658" s="41"/>
      <x:c r="R658" s="33"/>
      <x:c r="S658" s="33"/>
      <x:c r="T658" s="33"/>
      <x:c r="U658" s="33"/>
      <x:c r="Y658" s="37"/>
      <x:c r="Z658" s="37"/>
      <x:c r="AJ658" s="33"/>
    </x:row>
    <x:row r="659">
      <x:c r="P659" s="41"/>
      <x:c r="Q659" s="41"/>
      <x:c r="R659" s="33"/>
      <x:c r="S659" s="33"/>
      <x:c r="T659" s="33"/>
      <x:c r="U659" s="33"/>
      <x:c r="Y659" s="37"/>
      <x:c r="Z659" s="37"/>
      <x:c r="AJ659" s="33"/>
    </x:row>
    <x:row r="660">
      <x:c r="P660" s="41"/>
      <x:c r="Q660" s="41"/>
      <x:c r="R660" s="33"/>
      <x:c r="S660" s="33"/>
      <x:c r="T660" s="33"/>
      <x:c r="U660" s="33"/>
      <x:c r="Y660" s="37"/>
      <x:c r="Z660" s="37"/>
      <x:c r="AJ660" s="33"/>
    </x:row>
    <x:row r="661">
      <x:c r="P661" s="41"/>
      <x:c r="Q661" s="41"/>
      <x:c r="R661" s="33"/>
      <x:c r="S661" s="33"/>
      <x:c r="T661" s="33"/>
      <x:c r="U661" s="33"/>
      <x:c r="Y661" s="37"/>
      <x:c r="Z661" s="37"/>
      <x:c r="AJ661" s="33"/>
    </x:row>
    <x:row r="662">
      <x:c r="P662" s="41"/>
      <x:c r="Q662" s="41"/>
      <x:c r="R662" s="33"/>
      <x:c r="S662" s="33"/>
      <x:c r="T662" s="33"/>
      <x:c r="U662" s="33"/>
      <x:c r="Y662" s="37"/>
      <x:c r="Z662" s="37"/>
      <x:c r="AJ662" s="33"/>
    </x:row>
    <x:row r="663">
      <x:c r="P663" s="41"/>
      <x:c r="Q663" s="41"/>
      <x:c r="R663" s="33"/>
      <x:c r="S663" s="33"/>
      <x:c r="T663" s="33"/>
      <x:c r="U663" s="33"/>
      <x:c r="Y663" s="37"/>
      <x:c r="Z663" s="37"/>
      <x:c r="AJ663" s="33"/>
    </x:row>
    <x:row r="664">
      <x:c r="P664" s="41"/>
      <x:c r="Q664" s="41"/>
      <x:c r="R664" s="33"/>
      <x:c r="S664" s="33"/>
      <x:c r="T664" s="33"/>
      <x:c r="U664" s="33"/>
      <x:c r="Y664" s="37"/>
      <x:c r="Z664" s="37"/>
      <x:c r="AJ664" s="33"/>
    </x:row>
    <x:row r="665">
      <x:c r="P665" s="41"/>
      <x:c r="Q665" s="41"/>
      <x:c r="R665" s="33"/>
      <x:c r="S665" s="33"/>
      <x:c r="T665" s="33"/>
      <x:c r="U665" s="33"/>
      <x:c r="Y665" s="37"/>
      <x:c r="Z665" s="37"/>
      <x:c r="AJ665" s="33"/>
    </x:row>
    <x:row r="666">
      <x:c r="P666" s="41"/>
      <x:c r="Q666" s="41"/>
      <x:c r="R666" s="33"/>
      <x:c r="S666" s="33"/>
      <x:c r="T666" s="33"/>
      <x:c r="U666" s="33"/>
      <x:c r="Y666" s="37"/>
      <x:c r="Z666" s="37"/>
      <x:c r="AJ666" s="33"/>
    </x:row>
    <x:row r="667">
      <x:c r="P667" s="41"/>
      <x:c r="Q667" s="41"/>
      <x:c r="R667" s="33"/>
      <x:c r="S667" s="33"/>
      <x:c r="T667" s="33"/>
      <x:c r="U667" s="33"/>
      <x:c r="Y667" s="37"/>
      <x:c r="Z667" s="37"/>
      <x:c r="AJ667" s="33"/>
    </x:row>
    <x:row r="668">
      <x:c r="P668" s="41"/>
      <x:c r="Q668" s="41"/>
      <x:c r="R668" s="33"/>
      <x:c r="S668" s="33"/>
      <x:c r="T668" s="33"/>
      <x:c r="U668" s="33"/>
      <x:c r="Y668" s="37"/>
      <x:c r="Z668" s="37"/>
      <x:c r="AJ668" s="33"/>
    </x:row>
    <x:row r="669">
      <x:c r="P669" s="41"/>
      <x:c r="Q669" s="41"/>
      <x:c r="R669" s="33"/>
      <x:c r="S669" s="33"/>
      <x:c r="T669" s="33"/>
      <x:c r="U669" s="33"/>
      <x:c r="Y669" s="37"/>
      <x:c r="Z669" s="37"/>
      <x:c r="AJ669" s="33"/>
    </x:row>
    <x:row r="670">
      <x:c r="P670" s="41"/>
      <x:c r="Q670" s="41"/>
      <x:c r="R670" s="33"/>
      <x:c r="S670" s="33"/>
      <x:c r="T670" s="33"/>
      <x:c r="U670" s="33"/>
      <x:c r="Y670" s="37"/>
      <x:c r="Z670" s="37"/>
      <x:c r="AJ670" s="33"/>
    </x:row>
    <x:row r="671">
      <x:c r="P671" s="41"/>
      <x:c r="Q671" s="41"/>
      <x:c r="R671" s="33"/>
      <x:c r="S671" s="33"/>
      <x:c r="T671" s="33"/>
      <x:c r="U671" s="33"/>
      <x:c r="Y671" s="37"/>
      <x:c r="Z671" s="37"/>
      <x:c r="AJ671" s="33"/>
    </x:row>
    <x:row r="672">
      <x:c r="P672" s="41"/>
      <x:c r="Q672" s="41"/>
      <x:c r="R672" s="33"/>
      <x:c r="S672" s="33"/>
      <x:c r="T672" s="33"/>
      <x:c r="U672" s="33"/>
      <x:c r="Y672" s="37"/>
      <x:c r="Z672" s="37"/>
      <x:c r="AJ672" s="33"/>
    </x:row>
    <x:row r="673">
      <x:c r="P673" s="41"/>
      <x:c r="Q673" s="41"/>
      <x:c r="R673" s="33"/>
      <x:c r="S673" s="33"/>
      <x:c r="T673" s="33"/>
      <x:c r="U673" s="33"/>
      <x:c r="Y673" s="37"/>
      <x:c r="Z673" s="37"/>
      <x:c r="AJ673" s="33"/>
    </x:row>
    <x:row r="674">
      <x:c r="P674" s="41"/>
      <x:c r="Q674" s="41"/>
      <x:c r="R674" s="33"/>
      <x:c r="S674" s="33"/>
      <x:c r="T674" s="33"/>
      <x:c r="U674" s="33"/>
      <x:c r="Y674" s="37"/>
      <x:c r="Z674" s="37"/>
      <x:c r="AJ674" s="33"/>
    </x:row>
    <x:row r="675">
      <x:c r="P675" s="41"/>
      <x:c r="Q675" s="41"/>
      <x:c r="R675" s="33"/>
      <x:c r="S675" s="33"/>
      <x:c r="T675" s="33"/>
      <x:c r="U675" s="33"/>
      <x:c r="Y675" s="37"/>
      <x:c r="Z675" s="37"/>
      <x:c r="AJ675" s="33"/>
    </x:row>
    <x:row r="676">
      <x:c r="P676" s="41"/>
      <x:c r="Q676" s="41"/>
      <x:c r="R676" s="33"/>
      <x:c r="S676" s="33"/>
      <x:c r="T676" s="33"/>
      <x:c r="U676" s="33"/>
      <x:c r="Y676" s="37"/>
      <x:c r="Z676" s="37"/>
      <x:c r="AJ676" s="33"/>
    </x:row>
    <x:row r="677">
      <x:c r="P677" s="41"/>
      <x:c r="Q677" s="41"/>
      <x:c r="R677" s="33"/>
      <x:c r="S677" s="33"/>
      <x:c r="T677" s="33"/>
      <x:c r="U677" s="33"/>
      <x:c r="Y677" s="37"/>
      <x:c r="Z677" s="37"/>
      <x:c r="AJ677" s="33"/>
    </x:row>
    <x:row r="678">
      <x:c r="P678" s="41"/>
      <x:c r="Q678" s="41"/>
      <x:c r="R678" s="33"/>
      <x:c r="S678" s="33"/>
      <x:c r="T678" s="33"/>
      <x:c r="U678" s="33"/>
      <x:c r="Y678" s="37"/>
      <x:c r="Z678" s="37"/>
      <x:c r="AJ678" s="33"/>
    </x:row>
    <x:row r="679">
      <x:c r="P679" s="41"/>
      <x:c r="Q679" s="41"/>
      <x:c r="R679" s="33"/>
      <x:c r="S679" s="33"/>
      <x:c r="T679" s="33"/>
      <x:c r="U679" s="33"/>
      <x:c r="Y679" s="37"/>
      <x:c r="Z679" s="37"/>
      <x:c r="AJ679" s="33"/>
    </x:row>
    <x:row r="680">
      <x:c r="P680" s="41"/>
      <x:c r="Q680" s="41"/>
      <x:c r="R680" s="33"/>
      <x:c r="S680" s="33"/>
      <x:c r="T680" s="33"/>
      <x:c r="U680" s="33"/>
      <x:c r="Y680" s="37"/>
      <x:c r="Z680" s="37"/>
      <x:c r="AJ680" s="33"/>
    </x:row>
    <x:row r="681">
      <x:c r="P681" s="41"/>
      <x:c r="Q681" s="41"/>
      <x:c r="R681" s="33"/>
      <x:c r="S681" s="33"/>
      <x:c r="T681" s="33"/>
      <x:c r="U681" s="33"/>
      <x:c r="Y681" s="37"/>
      <x:c r="Z681" s="37"/>
      <x:c r="AJ681" s="33"/>
    </x:row>
    <x:row r="682">
      <x:c r="P682" s="41"/>
      <x:c r="Q682" s="41"/>
      <x:c r="R682" s="33"/>
      <x:c r="S682" s="33"/>
      <x:c r="T682" s="33"/>
      <x:c r="U682" s="33"/>
      <x:c r="Y682" s="37"/>
      <x:c r="Z682" s="37"/>
      <x:c r="AJ682" s="33"/>
    </x:row>
    <x:row r="683">
      <x:c r="P683" s="41"/>
      <x:c r="Q683" s="41"/>
      <x:c r="R683" s="33"/>
      <x:c r="S683" s="33"/>
      <x:c r="T683" s="33"/>
      <x:c r="U683" s="33"/>
      <x:c r="Y683" s="37"/>
      <x:c r="Z683" s="37"/>
      <x:c r="AJ683" s="33"/>
    </x:row>
    <x:row r="684">
      <x:c r="P684" s="41"/>
      <x:c r="Q684" s="41"/>
      <x:c r="R684" s="33"/>
      <x:c r="S684" s="33"/>
      <x:c r="T684" s="33"/>
      <x:c r="U684" s="33"/>
      <x:c r="Y684" s="37"/>
      <x:c r="Z684" s="37"/>
      <x:c r="AJ684" s="33"/>
    </x:row>
    <x:row r="685">
      <x:c r="P685" s="41"/>
      <x:c r="Q685" s="41"/>
      <x:c r="R685" s="33"/>
      <x:c r="S685" s="33"/>
      <x:c r="T685" s="33"/>
      <x:c r="U685" s="33"/>
      <x:c r="Y685" s="37"/>
      <x:c r="Z685" s="37"/>
      <x:c r="AJ685" s="33"/>
    </x:row>
    <x:row r="686">
      <x:c r="P686" s="41"/>
      <x:c r="Q686" s="41"/>
      <x:c r="R686" s="33"/>
      <x:c r="S686" s="33"/>
      <x:c r="T686" s="33"/>
      <x:c r="U686" s="33"/>
      <x:c r="Y686" s="37"/>
      <x:c r="Z686" s="37"/>
      <x:c r="AJ686" s="33"/>
    </x:row>
    <x:row r="687">
      <x:c r="P687" s="41"/>
      <x:c r="Q687" s="41"/>
      <x:c r="R687" s="33"/>
      <x:c r="S687" s="33"/>
      <x:c r="T687" s="33"/>
      <x:c r="U687" s="33"/>
      <x:c r="Y687" s="37"/>
      <x:c r="Z687" s="37"/>
      <x:c r="AJ687" s="33"/>
    </x:row>
    <x:row r="688">
      <x:c r="P688" s="41"/>
      <x:c r="Q688" s="41"/>
      <x:c r="R688" s="33"/>
      <x:c r="S688" s="33"/>
      <x:c r="T688" s="33"/>
      <x:c r="U688" s="33"/>
      <x:c r="Y688" s="37"/>
      <x:c r="Z688" s="37"/>
      <x:c r="AJ688" s="33"/>
    </x:row>
    <x:row r="689">
      <x:c r="P689" s="41"/>
      <x:c r="Q689" s="41"/>
      <x:c r="R689" s="33"/>
      <x:c r="S689" s="33"/>
      <x:c r="T689" s="33"/>
      <x:c r="U689" s="33"/>
      <x:c r="Y689" s="37"/>
      <x:c r="Z689" s="37"/>
      <x:c r="AJ689" s="33"/>
    </x:row>
    <x:row r="690">
      <x:c r="P690" s="41"/>
      <x:c r="Q690" s="41"/>
      <x:c r="R690" s="33"/>
      <x:c r="S690" s="33"/>
      <x:c r="T690" s="33"/>
      <x:c r="U690" s="33"/>
      <x:c r="Y690" s="37"/>
      <x:c r="Z690" s="37"/>
      <x:c r="AJ690" s="33"/>
    </x:row>
    <x:row r="691">
      <x:c r="P691" s="41"/>
      <x:c r="Q691" s="41"/>
      <x:c r="R691" s="33"/>
      <x:c r="S691" s="33"/>
      <x:c r="T691" s="33"/>
      <x:c r="U691" s="33"/>
      <x:c r="Y691" s="37"/>
      <x:c r="Z691" s="37"/>
      <x:c r="AJ691" s="33"/>
    </x:row>
    <x:row r="692">
      <x:c r="P692" s="41"/>
      <x:c r="Q692" s="41"/>
      <x:c r="R692" s="33"/>
      <x:c r="S692" s="33"/>
      <x:c r="T692" s="33"/>
      <x:c r="U692" s="33"/>
      <x:c r="Y692" s="37"/>
      <x:c r="Z692" s="37"/>
      <x:c r="AJ692" s="33"/>
    </x:row>
    <x:row r="693">
      <x:c r="P693" s="41"/>
      <x:c r="Q693" s="41"/>
      <x:c r="R693" s="33"/>
      <x:c r="S693" s="33"/>
      <x:c r="T693" s="33"/>
      <x:c r="U693" s="33"/>
      <x:c r="Y693" s="37"/>
      <x:c r="Z693" s="37"/>
      <x:c r="AJ693" s="33"/>
    </x:row>
    <x:row r="694">
      <x:c r="P694" s="41"/>
      <x:c r="Q694" s="41"/>
      <x:c r="R694" s="33"/>
      <x:c r="S694" s="33"/>
      <x:c r="T694" s="33"/>
      <x:c r="U694" s="33"/>
      <x:c r="Y694" s="37"/>
      <x:c r="Z694" s="37"/>
      <x:c r="AJ694" s="33"/>
    </x:row>
    <x:row r="695">
      <x:c r="P695" s="41"/>
      <x:c r="Q695" s="41"/>
      <x:c r="R695" s="33"/>
      <x:c r="S695" s="33"/>
      <x:c r="T695" s="33"/>
      <x:c r="U695" s="33"/>
      <x:c r="Y695" s="37"/>
      <x:c r="Z695" s="37"/>
      <x:c r="AJ695" s="33"/>
    </x:row>
    <x:row r="696">
      <x:c r="P696" s="41"/>
      <x:c r="Q696" s="41"/>
      <x:c r="R696" s="33"/>
      <x:c r="S696" s="33"/>
      <x:c r="T696" s="33"/>
      <x:c r="U696" s="33"/>
      <x:c r="Y696" s="37"/>
      <x:c r="Z696" s="37"/>
      <x:c r="AJ696" s="33"/>
    </x:row>
    <x:row r="697">
      <x:c r="P697" s="41"/>
      <x:c r="Q697" s="41"/>
      <x:c r="R697" s="33"/>
      <x:c r="S697" s="33"/>
      <x:c r="T697" s="33"/>
      <x:c r="U697" s="33"/>
      <x:c r="Y697" s="37"/>
      <x:c r="Z697" s="37"/>
      <x:c r="AJ697" s="33"/>
    </x:row>
    <x:row r="698">
      <x:c r="P698" s="41"/>
      <x:c r="Q698" s="41"/>
      <x:c r="R698" s="33"/>
      <x:c r="S698" s="33"/>
      <x:c r="T698" s="33"/>
      <x:c r="U698" s="33"/>
      <x:c r="Y698" s="37"/>
      <x:c r="Z698" s="37"/>
      <x:c r="AJ698" s="33"/>
    </x:row>
    <x:row r="699">
      <x:c r="P699" s="41"/>
      <x:c r="Q699" s="41"/>
      <x:c r="R699" s="33"/>
      <x:c r="S699" s="33"/>
      <x:c r="T699" s="33"/>
      <x:c r="U699" s="33"/>
      <x:c r="Y699" s="37"/>
      <x:c r="Z699" s="37"/>
      <x:c r="AJ699" s="33"/>
    </x:row>
    <x:row r="700">
      <x:c r="P700" s="41"/>
      <x:c r="Q700" s="41"/>
      <x:c r="R700" s="33"/>
      <x:c r="S700" s="33"/>
      <x:c r="T700" s="33"/>
      <x:c r="U700" s="33"/>
      <x:c r="Y700" s="37"/>
      <x:c r="Z700" s="37"/>
      <x:c r="AJ700" s="33"/>
    </x:row>
    <x:row r="701">
      <x:c r="P701" s="41"/>
      <x:c r="Q701" s="41"/>
      <x:c r="R701" s="33"/>
      <x:c r="S701" s="33"/>
      <x:c r="T701" s="33"/>
      <x:c r="U701" s="33"/>
      <x:c r="Y701" s="37"/>
      <x:c r="Z701" s="37"/>
      <x:c r="AJ701" s="33"/>
    </x:row>
    <x:row r="702">
      <x:c r="P702" s="41"/>
      <x:c r="Q702" s="41"/>
      <x:c r="R702" s="33"/>
      <x:c r="S702" s="33"/>
      <x:c r="T702" s="33"/>
      <x:c r="U702" s="33"/>
      <x:c r="Y702" s="37"/>
      <x:c r="Z702" s="37"/>
      <x:c r="AJ702" s="33"/>
    </x:row>
    <x:row r="703">
      <x:c r="P703" s="41"/>
      <x:c r="Q703" s="41"/>
      <x:c r="R703" s="33"/>
      <x:c r="S703" s="33"/>
      <x:c r="T703" s="33"/>
      <x:c r="U703" s="33"/>
      <x:c r="Y703" s="37"/>
      <x:c r="Z703" s="37"/>
      <x:c r="AJ703" s="33"/>
    </x:row>
    <x:row r="704">
      <x:c r="P704" s="41"/>
      <x:c r="Q704" s="41"/>
      <x:c r="R704" s="33"/>
      <x:c r="S704" s="33"/>
      <x:c r="T704" s="33"/>
      <x:c r="U704" s="33"/>
      <x:c r="Y704" s="37"/>
      <x:c r="Z704" s="37"/>
      <x:c r="AJ704" s="33"/>
    </x:row>
    <x:row r="705">
      <x:c r="P705" s="41"/>
      <x:c r="Q705" s="41"/>
      <x:c r="R705" s="33"/>
      <x:c r="S705" s="33"/>
      <x:c r="T705" s="33"/>
      <x:c r="U705" s="33"/>
      <x:c r="Y705" s="37"/>
      <x:c r="Z705" s="37"/>
      <x:c r="AJ705" s="33"/>
    </x:row>
    <x:row r="706">
      <x:c r="P706" s="41"/>
      <x:c r="Q706" s="41"/>
      <x:c r="R706" s="33"/>
      <x:c r="S706" s="33"/>
      <x:c r="T706" s="33"/>
      <x:c r="U706" s="33"/>
      <x:c r="Y706" s="37"/>
      <x:c r="Z706" s="37"/>
      <x:c r="AJ706" s="33"/>
    </x:row>
    <x:row r="707">
      <x:c r="P707" s="41"/>
      <x:c r="Q707" s="41"/>
      <x:c r="R707" s="33"/>
      <x:c r="S707" s="33"/>
      <x:c r="T707" s="33"/>
      <x:c r="U707" s="33"/>
      <x:c r="Y707" s="37"/>
      <x:c r="Z707" s="37"/>
      <x:c r="AJ707" s="33"/>
    </x:row>
    <x:row r="708">
      <x:c r="P708" s="41"/>
      <x:c r="Q708" s="41"/>
      <x:c r="R708" s="33"/>
      <x:c r="S708" s="33"/>
      <x:c r="T708" s="33"/>
      <x:c r="U708" s="33"/>
      <x:c r="Y708" s="37"/>
      <x:c r="Z708" s="37"/>
      <x:c r="AJ708" s="33"/>
    </x:row>
    <x:row r="709">
      <x:c r="P709" s="41"/>
      <x:c r="Q709" s="41"/>
      <x:c r="R709" s="33"/>
      <x:c r="S709" s="33"/>
      <x:c r="T709" s="33"/>
      <x:c r="U709" s="33"/>
      <x:c r="Y709" s="37"/>
      <x:c r="Z709" s="37"/>
      <x:c r="AJ709" s="33"/>
    </x:row>
    <x:row r="710">
      <x:c r="P710" s="41"/>
      <x:c r="Q710" s="41"/>
      <x:c r="R710" s="33"/>
      <x:c r="S710" s="33"/>
      <x:c r="T710" s="33"/>
      <x:c r="U710" s="33"/>
      <x:c r="Y710" s="37"/>
      <x:c r="Z710" s="37"/>
      <x:c r="AJ710" s="33"/>
    </x:row>
    <x:row r="711">
      <x:c r="P711" s="41"/>
      <x:c r="Q711" s="41"/>
      <x:c r="R711" s="33"/>
      <x:c r="S711" s="33"/>
      <x:c r="T711" s="33"/>
      <x:c r="U711" s="33"/>
      <x:c r="Y711" s="37"/>
      <x:c r="Z711" s="37"/>
      <x:c r="AJ711" s="33"/>
    </x:row>
    <x:row r="712">
      <x:c r="P712" s="41"/>
      <x:c r="Q712" s="41"/>
      <x:c r="R712" s="33"/>
      <x:c r="S712" s="33"/>
      <x:c r="T712" s="33"/>
      <x:c r="U712" s="33"/>
      <x:c r="Y712" s="37"/>
      <x:c r="Z712" s="37"/>
      <x:c r="AJ712" s="33"/>
    </x:row>
    <x:row r="713">
      <x:c r="P713" s="41"/>
      <x:c r="Q713" s="41"/>
      <x:c r="R713" s="33"/>
      <x:c r="S713" s="33"/>
      <x:c r="T713" s="33"/>
      <x:c r="U713" s="33"/>
      <x:c r="Y713" s="37"/>
      <x:c r="Z713" s="37"/>
      <x:c r="AJ713" s="33"/>
    </x:row>
    <x:row r="714">
      <x:c r="P714" s="41"/>
      <x:c r="Q714" s="41"/>
      <x:c r="R714" s="33"/>
      <x:c r="S714" s="33"/>
      <x:c r="T714" s="33"/>
      <x:c r="U714" s="33"/>
      <x:c r="Y714" s="37"/>
      <x:c r="Z714" s="37"/>
      <x:c r="AJ714" s="33"/>
    </x:row>
    <x:row r="715">
      <x:c r="P715" s="41"/>
      <x:c r="Q715" s="41"/>
      <x:c r="R715" s="33"/>
      <x:c r="S715" s="33"/>
      <x:c r="T715" s="33"/>
      <x:c r="U715" s="33"/>
      <x:c r="Y715" s="37"/>
      <x:c r="Z715" s="37"/>
      <x:c r="AJ715" s="33"/>
    </x:row>
    <x:row r="716">
      <x:c r="P716" s="41"/>
      <x:c r="Q716" s="41"/>
      <x:c r="R716" s="33"/>
      <x:c r="S716" s="33"/>
      <x:c r="T716" s="33"/>
      <x:c r="U716" s="33"/>
      <x:c r="Y716" s="37"/>
      <x:c r="Z716" s="37"/>
      <x:c r="AJ716" s="33"/>
    </x:row>
    <x:row r="717">
      <x:c r="P717" s="41"/>
      <x:c r="Q717" s="41"/>
      <x:c r="R717" s="33"/>
      <x:c r="S717" s="33"/>
      <x:c r="T717" s="33"/>
      <x:c r="U717" s="33"/>
      <x:c r="Y717" s="37"/>
      <x:c r="Z717" s="37"/>
      <x:c r="AJ717" s="33"/>
    </x:row>
    <x:row r="718">
      <x:c r="P718" s="41"/>
      <x:c r="Q718" s="41"/>
      <x:c r="R718" s="33"/>
      <x:c r="S718" s="33"/>
      <x:c r="T718" s="33"/>
      <x:c r="U718" s="33"/>
      <x:c r="Y718" s="37"/>
      <x:c r="Z718" s="37"/>
      <x:c r="AJ718" s="33"/>
    </x:row>
    <x:row r="719">
      <x:c r="P719" s="41"/>
      <x:c r="Q719" s="41"/>
      <x:c r="R719" s="33"/>
      <x:c r="S719" s="33"/>
      <x:c r="T719" s="33"/>
      <x:c r="U719" s="33"/>
      <x:c r="Y719" s="37"/>
      <x:c r="Z719" s="37"/>
      <x:c r="AJ719" s="33"/>
    </x:row>
    <x:row r="720">
      <x:c r="P720" s="41"/>
      <x:c r="Q720" s="41"/>
      <x:c r="R720" s="33"/>
      <x:c r="S720" s="33"/>
      <x:c r="T720" s="33"/>
      <x:c r="U720" s="33"/>
      <x:c r="Y720" s="37"/>
      <x:c r="Z720" s="37"/>
      <x:c r="AJ720" s="33"/>
    </x:row>
    <x:row r="721">
      <x:c r="P721" s="41"/>
      <x:c r="Q721" s="41"/>
      <x:c r="R721" s="33"/>
      <x:c r="S721" s="33"/>
      <x:c r="T721" s="33"/>
      <x:c r="U721" s="33"/>
      <x:c r="Y721" s="37"/>
      <x:c r="Z721" s="37"/>
      <x:c r="AJ721" s="33"/>
    </x:row>
    <x:row r="722">
      <x:c r="P722" s="41"/>
      <x:c r="Q722" s="41"/>
      <x:c r="R722" s="33"/>
      <x:c r="S722" s="33"/>
      <x:c r="T722" s="33"/>
      <x:c r="U722" s="33"/>
      <x:c r="Y722" s="37"/>
      <x:c r="Z722" s="37"/>
      <x:c r="AJ722" s="33"/>
    </x:row>
    <x:row r="723">
      <x:c r="P723" s="41"/>
      <x:c r="Q723" s="41"/>
      <x:c r="R723" s="33"/>
      <x:c r="S723" s="33"/>
      <x:c r="T723" s="33"/>
      <x:c r="U723" s="33"/>
      <x:c r="Y723" s="37"/>
      <x:c r="Z723" s="37"/>
      <x:c r="AJ723" s="33"/>
    </x:row>
    <x:row r="724">
      <x:c r="P724" s="41"/>
      <x:c r="Q724" s="41"/>
      <x:c r="R724" s="33"/>
      <x:c r="S724" s="33"/>
      <x:c r="T724" s="33"/>
      <x:c r="U724" s="33"/>
      <x:c r="Y724" s="37"/>
      <x:c r="Z724" s="37"/>
      <x:c r="AJ724" s="33"/>
    </x:row>
    <x:row r="725">
      <x:c r="P725" s="41"/>
      <x:c r="Q725" s="41"/>
      <x:c r="R725" s="33"/>
      <x:c r="S725" s="33"/>
      <x:c r="T725" s="33"/>
      <x:c r="U725" s="33"/>
      <x:c r="Y725" s="37"/>
      <x:c r="Z725" s="37"/>
      <x:c r="AJ725" s="33"/>
    </x:row>
    <x:row r="726">
      <x:c r="P726" s="41"/>
      <x:c r="Q726" s="41"/>
      <x:c r="R726" s="33"/>
      <x:c r="S726" s="33"/>
      <x:c r="T726" s="33"/>
      <x:c r="U726" s="33"/>
      <x:c r="Y726" s="37"/>
      <x:c r="Z726" s="37"/>
      <x:c r="AJ726" s="33"/>
    </x:row>
    <x:row r="727">
      <x:c r="P727" s="41"/>
      <x:c r="Q727" s="41"/>
      <x:c r="R727" s="33"/>
      <x:c r="S727" s="33"/>
      <x:c r="T727" s="33"/>
      <x:c r="U727" s="33"/>
      <x:c r="Y727" s="37"/>
      <x:c r="Z727" s="37"/>
      <x:c r="AJ727" s="33"/>
    </x:row>
    <x:row r="728">
      <x:c r="P728" s="41"/>
      <x:c r="Q728" s="41"/>
      <x:c r="R728" s="33"/>
      <x:c r="S728" s="33"/>
      <x:c r="T728" s="33"/>
      <x:c r="U728" s="33"/>
      <x:c r="Y728" s="37"/>
      <x:c r="Z728" s="37"/>
      <x:c r="AJ728" s="33"/>
    </x:row>
    <x:row r="729">
      <x:c r="P729" s="41"/>
      <x:c r="Q729" s="41"/>
      <x:c r="R729" s="33"/>
      <x:c r="S729" s="33"/>
      <x:c r="T729" s="33"/>
      <x:c r="U729" s="33"/>
      <x:c r="Y729" s="37"/>
      <x:c r="Z729" s="37"/>
      <x:c r="AJ729" s="33"/>
    </x:row>
    <x:row r="730">
      <x:c r="P730" s="41"/>
      <x:c r="Q730" s="41"/>
      <x:c r="R730" s="33"/>
      <x:c r="S730" s="33"/>
      <x:c r="T730" s="33"/>
      <x:c r="U730" s="33"/>
      <x:c r="Y730" s="37"/>
      <x:c r="Z730" s="37"/>
      <x:c r="AJ730" s="33"/>
    </x:row>
    <x:row r="731">
      <x:c r="P731" s="41"/>
      <x:c r="Q731" s="41"/>
      <x:c r="R731" s="33"/>
      <x:c r="S731" s="33"/>
      <x:c r="T731" s="33"/>
      <x:c r="U731" s="33"/>
      <x:c r="Y731" s="37"/>
      <x:c r="Z731" s="37"/>
      <x:c r="AJ731" s="33"/>
    </x:row>
    <x:row r="732">
      <x:c r="P732" s="41"/>
      <x:c r="Q732" s="41"/>
      <x:c r="R732" s="33"/>
      <x:c r="S732" s="33"/>
      <x:c r="T732" s="33"/>
      <x:c r="U732" s="33"/>
      <x:c r="Y732" s="37"/>
      <x:c r="Z732" s="37"/>
      <x:c r="AJ732" s="33"/>
    </x:row>
    <x:row r="733">
      <x:c r="P733" s="41"/>
      <x:c r="Q733" s="41"/>
      <x:c r="R733" s="33"/>
      <x:c r="S733" s="33"/>
      <x:c r="T733" s="33"/>
      <x:c r="U733" s="33"/>
      <x:c r="Y733" s="37"/>
      <x:c r="Z733" s="37"/>
      <x:c r="AJ733" s="33"/>
    </x:row>
    <x:row r="734">
      <x:c r="P734" s="41"/>
      <x:c r="Q734" s="41"/>
      <x:c r="R734" s="33"/>
      <x:c r="S734" s="33"/>
      <x:c r="T734" s="33"/>
      <x:c r="U734" s="33"/>
      <x:c r="Y734" s="37"/>
      <x:c r="Z734" s="37"/>
      <x:c r="AJ734" s="33"/>
    </x:row>
    <x:row r="735">
      <x:c r="P735" s="41"/>
      <x:c r="Q735" s="41"/>
      <x:c r="R735" s="33"/>
      <x:c r="S735" s="33"/>
      <x:c r="T735" s="33"/>
      <x:c r="U735" s="33"/>
      <x:c r="Y735" s="37"/>
      <x:c r="Z735" s="37"/>
      <x:c r="AJ735" s="33"/>
    </x:row>
    <x:row r="736">
      <x:c r="P736" s="41"/>
      <x:c r="Q736" s="41"/>
      <x:c r="R736" s="33"/>
      <x:c r="S736" s="33"/>
      <x:c r="T736" s="33"/>
      <x:c r="U736" s="33"/>
      <x:c r="Y736" s="37"/>
      <x:c r="Z736" s="37"/>
      <x:c r="AJ736" s="33"/>
    </x:row>
    <x:row r="737">
      <x:c r="P737" s="41"/>
      <x:c r="Q737" s="41"/>
      <x:c r="R737" s="33"/>
      <x:c r="S737" s="33"/>
      <x:c r="T737" s="33"/>
      <x:c r="U737" s="33"/>
      <x:c r="Y737" s="37"/>
      <x:c r="Z737" s="37"/>
      <x:c r="AJ737" s="33"/>
    </x:row>
    <x:row r="738">
      <x:c r="P738" s="41"/>
      <x:c r="Q738" s="41"/>
      <x:c r="R738" s="33"/>
      <x:c r="S738" s="33"/>
      <x:c r="T738" s="33"/>
      <x:c r="U738" s="33"/>
      <x:c r="Y738" s="37"/>
      <x:c r="Z738" s="37"/>
      <x:c r="AJ738" s="33"/>
    </x:row>
    <x:row r="739">
      <x:c r="P739" s="41"/>
      <x:c r="Q739" s="41"/>
      <x:c r="R739" s="33"/>
      <x:c r="S739" s="33"/>
      <x:c r="T739" s="33"/>
      <x:c r="U739" s="33"/>
      <x:c r="Y739" s="37"/>
      <x:c r="Z739" s="37"/>
      <x:c r="AJ739" s="33"/>
    </x:row>
    <x:row r="740">
      <x:c r="P740" s="41"/>
      <x:c r="Q740" s="41"/>
      <x:c r="R740" s="33"/>
      <x:c r="S740" s="33"/>
      <x:c r="T740" s="33"/>
      <x:c r="U740" s="33"/>
      <x:c r="Y740" s="37"/>
      <x:c r="Z740" s="37"/>
      <x:c r="AJ740" s="33"/>
    </x:row>
    <x:row r="741">
      <x:c r="P741" s="41"/>
      <x:c r="Q741" s="41"/>
      <x:c r="R741" s="33"/>
      <x:c r="S741" s="33"/>
      <x:c r="T741" s="33"/>
      <x:c r="U741" s="33"/>
      <x:c r="Y741" s="37"/>
      <x:c r="Z741" s="37"/>
      <x:c r="AJ741" s="33"/>
    </x:row>
    <x:row r="742">
      <x:c r="P742" s="41"/>
      <x:c r="Q742" s="41"/>
      <x:c r="R742" s="33"/>
      <x:c r="S742" s="33"/>
      <x:c r="T742" s="33"/>
      <x:c r="U742" s="33"/>
      <x:c r="Y742" s="37"/>
      <x:c r="Z742" s="37"/>
      <x:c r="AJ742" s="33"/>
    </x:row>
    <x:row r="743">
      <x:c r="P743" s="41"/>
      <x:c r="Q743" s="41"/>
      <x:c r="R743" s="33"/>
      <x:c r="S743" s="33"/>
      <x:c r="T743" s="33"/>
      <x:c r="U743" s="33"/>
      <x:c r="Y743" s="37"/>
      <x:c r="Z743" s="37"/>
      <x:c r="AJ743" s="33"/>
    </x:row>
    <x:row r="744">
      <x:c r="P744" s="41"/>
      <x:c r="Q744" s="41"/>
      <x:c r="R744" s="33"/>
      <x:c r="S744" s="33"/>
      <x:c r="T744" s="33"/>
      <x:c r="U744" s="33"/>
      <x:c r="Y744" s="37"/>
      <x:c r="Z744" s="37"/>
      <x:c r="AJ744" s="33"/>
    </x:row>
    <x:row r="745">
      <x:c r="P745" s="41"/>
      <x:c r="Q745" s="41"/>
      <x:c r="R745" s="33"/>
      <x:c r="S745" s="33"/>
      <x:c r="T745" s="33"/>
      <x:c r="U745" s="33"/>
      <x:c r="Y745" s="37"/>
      <x:c r="Z745" s="37"/>
      <x:c r="AJ745" s="33"/>
    </x:row>
    <x:row r="746">
      <x:c r="P746" s="41"/>
      <x:c r="Q746" s="41"/>
      <x:c r="R746" s="33"/>
      <x:c r="S746" s="33"/>
      <x:c r="T746" s="33"/>
      <x:c r="U746" s="33"/>
      <x:c r="Y746" s="37"/>
      <x:c r="Z746" s="37"/>
      <x:c r="AJ746" s="33"/>
    </x:row>
    <x:row r="747">
      <x:c r="P747" s="41"/>
      <x:c r="Q747" s="41"/>
      <x:c r="R747" s="33"/>
      <x:c r="S747" s="33"/>
      <x:c r="T747" s="33"/>
      <x:c r="U747" s="33"/>
      <x:c r="Y747" s="37"/>
      <x:c r="Z747" s="37"/>
      <x:c r="AJ747" s="33"/>
    </x:row>
    <x:row r="748">
      <x:c r="P748" s="41"/>
      <x:c r="Q748" s="41"/>
      <x:c r="R748" s="33"/>
      <x:c r="S748" s="33"/>
      <x:c r="T748" s="33"/>
      <x:c r="U748" s="33"/>
      <x:c r="Y748" s="37"/>
      <x:c r="Z748" s="37"/>
      <x:c r="AJ748" s="33"/>
    </x:row>
    <x:row r="749">
      <x:c r="P749" s="41"/>
      <x:c r="Q749" s="41"/>
      <x:c r="R749" s="33"/>
      <x:c r="S749" s="33"/>
      <x:c r="T749" s="33"/>
      <x:c r="U749" s="33"/>
      <x:c r="Y749" s="37"/>
      <x:c r="Z749" s="37"/>
      <x:c r="AJ749" s="33"/>
    </x:row>
    <x:row r="750">
      <x:c r="P750" s="41"/>
      <x:c r="Q750" s="41"/>
      <x:c r="R750" s="33"/>
      <x:c r="S750" s="33"/>
      <x:c r="T750" s="33"/>
      <x:c r="U750" s="33"/>
      <x:c r="Y750" s="37"/>
      <x:c r="Z750" s="37"/>
      <x:c r="AJ750" s="33"/>
    </x:row>
    <x:row r="751">
      <x:c r="P751" s="41"/>
      <x:c r="Q751" s="41"/>
      <x:c r="R751" s="33"/>
      <x:c r="S751" s="33"/>
      <x:c r="T751" s="33"/>
      <x:c r="U751" s="33"/>
      <x:c r="Y751" s="37"/>
      <x:c r="Z751" s="37"/>
      <x:c r="AJ751" s="33"/>
    </x:row>
    <x:row r="752">
      <x:c r="P752" s="41"/>
      <x:c r="Q752" s="41"/>
      <x:c r="R752" s="33"/>
      <x:c r="S752" s="33"/>
      <x:c r="T752" s="33"/>
      <x:c r="U752" s="33"/>
      <x:c r="Y752" s="37"/>
      <x:c r="Z752" s="37"/>
      <x:c r="AJ752" s="33"/>
    </x:row>
    <x:row r="753">
      <x:c r="P753" s="41"/>
      <x:c r="Q753" s="41"/>
      <x:c r="R753" s="33"/>
      <x:c r="S753" s="33"/>
      <x:c r="T753" s="33"/>
      <x:c r="U753" s="33"/>
      <x:c r="Y753" s="37"/>
      <x:c r="Z753" s="37"/>
      <x:c r="AJ753" s="33"/>
    </x:row>
    <x:row r="754">
      <x:c r="P754" s="41"/>
      <x:c r="Q754" s="41"/>
      <x:c r="R754" s="33"/>
      <x:c r="S754" s="33"/>
      <x:c r="T754" s="33"/>
      <x:c r="U754" s="33"/>
      <x:c r="Y754" s="37"/>
      <x:c r="Z754" s="37"/>
      <x:c r="AJ754" s="33"/>
    </x:row>
    <x:row r="755">
      <x:c r="P755" s="41"/>
      <x:c r="Q755" s="41"/>
      <x:c r="R755" s="33"/>
      <x:c r="S755" s="33"/>
      <x:c r="T755" s="33"/>
      <x:c r="U755" s="33"/>
      <x:c r="Y755" s="37"/>
      <x:c r="Z755" s="37"/>
      <x:c r="AJ755" s="33"/>
    </x:row>
    <x:row r="756">
      <x:c r="P756" s="41"/>
      <x:c r="Q756" s="41"/>
      <x:c r="R756" s="33"/>
      <x:c r="S756" s="33"/>
      <x:c r="T756" s="33"/>
      <x:c r="U756" s="33"/>
      <x:c r="Y756" s="37"/>
      <x:c r="Z756" s="37"/>
      <x:c r="AJ756" s="33"/>
    </x:row>
    <x:row r="757">
      <x:c r="P757" s="41"/>
      <x:c r="Q757" s="41"/>
      <x:c r="R757" s="33"/>
      <x:c r="S757" s="33"/>
      <x:c r="T757" s="33"/>
      <x:c r="U757" s="33"/>
      <x:c r="Y757" s="37"/>
      <x:c r="Z757" s="37"/>
      <x:c r="AJ757" s="33"/>
    </x:row>
    <x:row r="758">
      <x:c r="P758" s="41"/>
      <x:c r="Q758" s="41"/>
      <x:c r="R758" s="33"/>
      <x:c r="S758" s="33"/>
      <x:c r="T758" s="33"/>
      <x:c r="U758" s="33"/>
      <x:c r="Y758" s="37"/>
      <x:c r="Z758" s="37"/>
      <x:c r="AJ758" s="33"/>
    </x:row>
    <x:row r="759">
      <x:c r="P759" s="41"/>
      <x:c r="Q759" s="41"/>
      <x:c r="R759" s="33"/>
      <x:c r="S759" s="33"/>
      <x:c r="T759" s="33"/>
      <x:c r="U759" s="33"/>
      <x:c r="Y759" s="37"/>
      <x:c r="Z759" s="37"/>
      <x:c r="AJ759" s="33"/>
    </x:row>
    <x:row r="760">
      <x:c r="P760" s="41"/>
      <x:c r="Q760" s="41"/>
      <x:c r="R760" s="33"/>
      <x:c r="S760" s="33"/>
      <x:c r="T760" s="33"/>
      <x:c r="U760" s="33"/>
      <x:c r="Y760" s="37"/>
      <x:c r="Z760" s="37"/>
      <x:c r="AJ760" s="33"/>
    </x:row>
    <x:row r="761">
      <x:c r="P761" s="41"/>
      <x:c r="Q761" s="41"/>
      <x:c r="R761" s="33"/>
      <x:c r="S761" s="33"/>
      <x:c r="T761" s="33"/>
      <x:c r="U761" s="33"/>
      <x:c r="Y761" s="37"/>
      <x:c r="Z761" s="37"/>
      <x:c r="AJ761" s="33"/>
    </x:row>
    <x:row r="762">
      <x:c r="P762" s="41"/>
      <x:c r="Q762" s="41"/>
      <x:c r="R762" s="33"/>
      <x:c r="S762" s="33"/>
      <x:c r="T762" s="33"/>
      <x:c r="U762" s="33"/>
      <x:c r="Y762" s="37"/>
      <x:c r="Z762" s="37"/>
      <x:c r="AJ762" s="33"/>
    </x:row>
    <x:row r="763">
      <x:c r="P763" s="41"/>
      <x:c r="Q763" s="41"/>
      <x:c r="R763" s="33"/>
      <x:c r="S763" s="33"/>
      <x:c r="T763" s="33"/>
      <x:c r="U763" s="33"/>
      <x:c r="Y763" s="37"/>
      <x:c r="Z763" s="37"/>
      <x:c r="AJ763" s="33"/>
    </x:row>
    <x:row r="764">
      <x:c r="P764" s="41"/>
      <x:c r="Q764" s="41"/>
      <x:c r="R764" s="33"/>
      <x:c r="S764" s="33"/>
      <x:c r="T764" s="33"/>
      <x:c r="U764" s="33"/>
      <x:c r="Y764" s="37"/>
      <x:c r="Z764" s="37"/>
      <x:c r="AJ764" s="33"/>
    </x:row>
    <x:row r="765">
      <x:c r="P765" s="41"/>
      <x:c r="Q765" s="41"/>
      <x:c r="R765" s="33"/>
      <x:c r="S765" s="33"/>
      <x:c r="T765" s="33"/>
      <x:c r="U765" s="33"/>
      <x:c r="Y765" s="37"/>
      <x:c r="Z765" s="37"/>
      <x:c r="AJ765" s="33"/>
    </x:row>
    <x:row r="766">
      <x:c r="P766" s="41"/>
      <x:c r="Q766" s="41"/>
      <x:c r="R766" s="33"/>
      <x:c r="S766" s="33"/>
      <x:c r="T766" s="33"/>
      <x:c r="U766" s="33"/>
      <x:c r="Y766" s="37"/>
      <x:c r="Z766" s="37"/>
      <x:c r="AJ766" s="33"/>
    </x:row>
    <x:row r="767">
      <x:c r="P767" s="41"/>
      <x:c r="Q767" s="41"/>
      <x:c r="R767" s="33"/>
      <x:c r="S767" s="33"/>
      <x:c r="T767" s="33"/>
      <x:c r="U767" s="33"/>
      <x:c r="Y767" s="37"/>
      <x:c r="Z767" s="37"/>
      <x:c r="AJ767" s="33"/>
    </x:row>
    <x:row r="768">
      <x:c r="P768" s="41"/>
      <x:c r="Q768" s="41"/>
      <x:c r="R768" s="33"/>
      <x:c r="S768" s="33"/>
      <x:c r="T768" s="33"/>
      <x:c r="U768" s="33"/>
      <x:c r="Y768" s="37"/>
      <x:c r="Z768" s="37"/>
      <x:c r="AJ768" s="33"/>
    </x:row>
    <x:row r="769">
      <x:c r="P769" s="41"/>
      <x:c r="Q769" s="41"/>
      <x:c r="R769" s="33"/>
      <x:c r="S769" s="33"/>
      <x:c r="T769" s="33"/>
      <x:c r="U769" s="33"/>
      <x:c r="Y769" s="37"/>
      <x:c r="Z769" s="37"/>
      <x:c r="AJ769" s="33"/>
    </x:row>
    <x:row r="770">
      <x:c r="P770" s="41"/>
      <x:c r="Q770" s="41"/>
      <x:c r="R770" s="33"/>
      <x:c r="S770" s="33"/>
      <x:c r="T770" s="33"/>
      <x:c r="U770" s="33"/>
      <x:c r="Y770" s="37"/>
      <x:c r="Z770" s="37"/>
      <x:c r="AJ770" s="33"/>
    </x:row>
    <x:row r="771">
      <x:c r="P771" s="41"/>
      <x:c r="Q771" s="41"/>
      <x:c r="R771" s="33"/>
      <x:c r="S771" s="33"/>
      <x:c r="T771" s="33"/>
      <x:c r="U771" s="33"/>
      <x:c r="Y771" s="37"/>
      <x:c r="Z771" s="37"/>
      <x:c r="AJ771" s="33"/>
    </x:row>
    <x:row r="772">
      <x:c r="P772" s="41"/>
      <x:c r="Q772" s="41"/>
      <x:c r="R772" s="33"/>
      <x:c r="S772" s="33"/>
      <x:c r="T772" s="33"/>
      <x:c r="U772" s="33"/>
      <x:c r="Y772" s="37"/>
      <x:c r="Z772" s="37"/>
      <x:c r="AJ772" s="33"/>
    </x:row>
    <x:row r="773">
      <x:c r="P773" s="41"/>
      <x:c r="Q773" s="41"/>
      <x:c r="R773" s="33"/>
      <x:c r="S773" s="33"/>
      <x:c r="T773" s="33"/>
      <x:c r="U773" s="33"/>
      <x:c r="Y773" s="37"/>
      <x:c r="Z773" s="37"/>
      <x:c r="AJ773" s="33"/>
    </x:row>
    <x:row r="774">
      <x:c r="P774" s="41"/>
      <x:c r="Q774" s="41"/>
      <x:c r="R774" s="33"/>
      <x:c r="S774" s="33"/>
      <x:c r="T774" s="33"/>
      <x:c r="U774" s="33"/>
      <x:c r="Y774" s="37"/>
      <x:c r="Z774" s="37"/>
      <x:c r="AJ774" s="33"/>
    </x:row>
    <x:row r="775">
      <x:c r="P775" s="41"/>
      <x:c r="Q775" s="41"/>
      <x:c r="R775" s="33"/>
      <x:c r="S775" s="33"/>
      <x:c r="T775" s="33"/>
      <x:c r="U775" s="33"/>
      <x:c r="Y775" s="37"/>
      <x:c r="Z775" s="37"/>
      <x:c r="AJ775" s="33"/>
    </x:row>
    <x:row r="776">
      <x:c r="P776" s="41"/>
      <x:c r="Q776" s="41"/>
      <x:c r="R776" s="33"/>
      <x:c r="S776" s="33"/>
      <x:c r="T776" s="33"/>
      <x:c r="U776" s="33"/>
      <x:c r="Y776" s="37"/>
      <x:c r="Z776" s="37"/>
      <x:c r="AJ776" s="33"/>
    </x:row>
    <x:row r="777">
      <x:c r="P777" s="41"/>
      <x:c r="Q777" s="41"/>
      <x:c r="R777" s="33"/>
      <x:c r="S777" s="33"/>
      <x:c r="T777" s="33"/>
      <x:c r="U777" s="33"/>
      <x:c r="Y777" s="37"/>
      <x:c r="Z777" s="37"/>
      <x:c r="AJ777" s="33"/>
    </x:row>
    <x:row r="778">
      <x:c r="P778" s="41"/>
      <x:c r="Q778" s="41"/>
      <x:c r="R778" s="33"/>
      <x:c r="S778" s="33"/>
      <x:c r="T778" s="33"/>
      <x:c r="U778" s="33"/>
      <x:c r="Y778" s="37"/>
      <x:c r="Z778" s="37"/>
      <x:c r="AJ778" s="33"/>
    </x:row>
    <x:row r="779">
      <x:c r="P779" s="41"/>
      <x:c r="Q779" s="41"/>
      <x:c r="R779" s="33"/>
      <x:c r="S779" s="33"/>
      <x:c r="T779" s="33"/>
      <x:c r="U779" s="33"/>
      <x:c r="Y779" s="37"/>
      <x:c r="Z779" s="37"/>
      <x:c r="AJ779" s="33"/>
    </x:row>
    <x:row r="780">
      <x:c r="P780" s="41"/>
      <x:c r="Q780" s="41"/>
      <x:c r="R780" s="33"/>
      <x:c r="S780" s="33"/>
      <x:c r="T780" s="33"/>
      <x:c r="U780" s="33"/>
      <x:c r="Y780" s="37"/>
      <x:c r="Z780" s="37"/>
      <x:c r="AJ780" s="33"/>
    </x:row>
    <x:row r="781">
      <x:c r="P781" s="41"/>
      <x:c r="Q781" s="41"/>
      <x:c r="R781" s="33"/>
      <x:c r="S781" s="33"/>
      <x:c r="T781" s="33"/>
      <x:c r="U781" s="33"/>
      <x:c r="Y781" s="37"/>
      <x:c r="Z781" s="37"/>
      <x:c r="AJ781" s="33"/>
    </x:row>
    <x:row r="782">
      <x:c r="P782" s="41"/>
      <x:c r="Q782" s="41"/>
      <x:c r="R782" s="33"/>
      <x:c r="S782" s="33"/>
      <x:c r="T782" s="33"/>
      <x:c r="U782" s="33"/>
      <x:c r="Y782" s="37"/>
      <x:c r="Z782" s="37"/>
      <x:c r="AJ782" s="33"/>
    </x:row>
    <x:row r="783">
      <x:c r="P783" s="41"/>
      <x:c r="Q783" s="41"/>
      <x:c r="R783" s="33"/>
      <x:c r="S783" s="33"/>
      <x:c r="T783" s="33"/>
      <x:c r="U783" s="33"/>
      <x:c r="Y783" s="37"/>
      <x:c r="Z783" s="37"/>
      <x:c r="AJ783" s="33"/>
    </x:row>
    <x:row r="784">
      <x:c r="P784" s="41"/>
      <x:c r="Q784" s="41"/>
      <x:c r="R784" s="33"/>
      <x:c r="S784" s="33"/>
      <x:c r="T784" s="33"/>
      <x:c r="U784" s="33"/>
      <x:c r="Y784" s="37"/>
      <x:c r="Z784" s="37"/>
      <x:c r="AJ784" s="33"/>
    </x:row>
    <x:row r="785">
      <x:c r="P785" s="41"/>
      <x:c r="Q785" s="41"/>
      <x:c r="R785" s="33"/>
      <x:c r="S785" s="33"/>
      <x:c r="T785" s="33"/>
      <x:c r="U785" s="33"/>
      <x:c r="Y785" s="37"/>
      <x:c r="Z785" s="37"/>
      <x:c r="AJ785" s="33"/>
    </x:row>
    <x:row r="786">
      <x:c r="P786" s="41"/>
      <x:c r="Q786" s="41"/>
      <x:c r="R786" s="33"/>
      <x:c r="S786" s="33"/>
      <x:c r="T786" s="33"/>
      <x:c r="U786" s="33"/>
      <x:c r="Y786" s="37"/>
      <x:c r="Z786" s="37"/>
      <x:c r="AJ786" s="33"/>
    </x:row>
    <x:row r="787">
      <x:c r="P787" s="41"/>
      <x:c r="Q787" s="41"/>
      <x:c r="R787" s="33"/>
      <x:c r="S787" s="33"/>
      <x:c r="T787" s="33"/>
      <x:c r="U787" s="33"/>
      <x:c r="Y787" s="37"/>
      <x:c r="Z787" s="37"/>
      <x:c r="AJ787" s="33"/>
    </x:row>
    <x:row r="788">
      <x:c r="P788" s="41"/>
      <x:c r="Q788" s="41"/>
      <x:c r="R788" s="33"/>
      <x:c r="S788" s="33"/>
      <x:c r="T788" s="33"/>
      <x:c r="U788" s="33"/>
      <x:c r="Y788" s="37"/>
      <x:c r="Z788" s="37"/>
      <x:c r="AJ788" s="33"/>
    </x:row>
    <x:row r="789">
      <x:c r="P789" s="41"/>
      <x:c r="Q789" s="41"/>
      <x:c r="R789" s="33"/>
      <x:c r="S789" s="33"/>
      <x:c r="T789" s="33"/>
      <x:c r="U789" s="33"/>
      <x:c r="Y789" s="37"/>
      <x:c r="Z789" s="37"/>
      <x:c r="AJ789" s="33"/>
    </x:row>
    <x:row r="790">
      <x:c r="P790" s="41"/>
      <x:c r="Q790" s="41"/>
      <x:c r="R790" s="33"/>
      <x:c r="S790" s="33"/>
      <x:c r="T790" s="33"/>
      <x:c r="U790" s="33"/>
      <x:c r="Y790" s="37"/>
      <x:c r="Z790" s="37"/>
      <x:c r="AJ790" s="33"/>
    </x:row>
    <x:row r="791">
      <x:c r="P791" s="41"/>
      <x:c r="Q791" s="41"/>
      <x:c r="R791" s="33"/>
      <x:c r="S791" s="33"/>
      <x:c r="T791" s="33"/>
      <x:c r="U791" s="33"/>
      <x:c r="Y791" s="37"/>
      <x:c r="Z791" s="37"/>
      <x:c r="AJ791" s="33"/>
    </x:row>
    <x:row r="792">
      <x:c r="P792" s="41"/>
      <x:c r="Q792" s="41"/>
      <x:c r="R792" s="33"/>
      <x:c r="S792" s="33"/>
      <x:c r="T792" s="33"/>
      <x:c r="U792" s="33"/>
      <x:c r="Y792" s="37"/>
      <x:c r="Z792" s="37"/>
      <x:c r="AJ792" s="33"/>
    </x:row>
    <x:row r="793">
      <x:c r="P793" s="41"/>
      <x:c r="Q793" s="41"/>
      <x:c r="R793" s="33"/>
      <x:c r="S793" s="33"/>
      <x:c r="T793" s="33"/>
      <x:c r="U793" s="33"/>
      <x:c r="Y793" s="37"/>
      <x:c r="Z793" s="37"/>
      <x:c r="AJ793" s="33"/>
    </x:row>
    <x:row r="794">
      <x:c r="P794" s="41"/>
      <x:c r="Q794" s="41"/>
      <x:c r="R794" s="33"/>
      <x:c r="S794" s="33"/>
      <x:c r="T794" s="33"/>
      <x:c r="U794" s="33"/>
      <x:c r="Y794" s="37"/>
      <x:c r="Z794" s="37"/>
      <x:c r="AJ794" s="33"/>
    </x:row>
    <x:row r="795">
      <x:c r="P795" s="41"/>
      <x:c r="Q795" s="41"/>
      <x:c r="R795" s="33"/>
      <x:c r="S795" s="33"/>
      <x:c r="T795" s="33"/>
      <x:c r="U795" s="33"/>
      <x:c r="Y795" s="37"/>
      <x:c r="Z795" s="37"/>
      <x:c r="AJ795" s="33"/>
    </x:row>
    <x:row r="796">
      <x:c r="P796" s="41"/>
      <x:c r="Q796" s="41"/>
      <x:c r="R796" s="33"/>
      <x:c r="S796" s="33"/>
      <x:c r="T796" s="33"/>
      <x:c r="U796" s="33"/>
      <x:c r="Y796" s="37"/>
      <x:c r="Z796" s="37"/>
      <x:c r="AJ796" s="33"/>
    </x:row>
    <x:row r="797">
      <x:c r="P797" s="41"/>
      <x:c r="Q797" s="41"/>
      <x:c r="R797" s="33"/>
      <x:c r="S797" s="33"/>
      <x:c r="T797" s="33"/>
      <x:c r="U797" s="33"/>
      <x:c r="Y797" s="37"/>
      <x:c r="Z797" s="37"/>
      <x:c r="AJ797" s="33"/>
    </x:row>
    <x:row r="798">
      <x:c r="P798" s="41"/>
      <x:c r="Q798" s="41"/>
      <x:c r="R798" s="33"/>
      <x:c r="S798" s="33"/>
      <x:c r="T798" s="33"/>
      <x:c r="U798" s="33"/>
      <x:c r="Y798" s="37"/>
      <x:c r="Z798" s="37"/>
      <x:c r="AJ798" s="33"/>
    </x:row>
    <x:row r="799">
      <x:c r="P799" s="41"/>
      <x:c r="Q799" s="41"/>
      <x:c r="R799" s="33"/>
      <x:c r="S799" s="33"/>
      <x:c r="T799" s="33"/>
      <x:c r="U799" s="33"/>
      <x:c r="Y799" s="37"/>
      <x:c r="Z799" s="37"/>
      <x:c r="AJ799" s="33"/>
    </x:row>
    <x:row r="800">
      <x:c r="P800" s="41"/>
      <x:c r="Q800" s="41"/>
      <x:c r="R800" s="33"/>
      <x:c r="S800" s="33"/>
      <x:c r="T800" s="33"/>
      <x:c r="U800" s="33"/>
      <x:c r="Y800" s="37"/>
      <x:c r="Z800" s="37"/>
      <x:c r="AJ800" s="33"/>
    </x:row>
    <x:row r="801">
      <x:c r="P801" s="41"/>
      <x:c r="Q801" s="41"/>
      <x:c r="R801" s="33"/>
      <x:c r="S801" s="33"/>
      <x:c r="T801" s="33"/>
      <x:c r="U801" s="33"/>
      <x:c r="Y801" s="37"/>
      <x:c r="Z801" s="37"/>
      <x:c r="AJ801" s="33"/>
    </x:row>
    <x:row r="802">
      <x:c r="P802" s="41"/>
      <x:c r="Q802" s="41"/>
      <x:c r="R802" s="33"/>
      <x:c r="S802" s="33"/>
      <x:c r="T802" s="33"/>
      <x:c r="U802" s="33"/>
      <x:c r="Y802" s="37"/>
      <x:c r="Z802" s="37"/>
      <x:c r="AJ802" s="33"/>
    </x:row>
    <x:row r="803">
      <x:c r="P803" s="41"/>
      <x:c r="Q803" s="41"/>
      <x:c r="R803" s="33"/>
      <x:c r="S803" s="33"/>
      <x:c r="T803" s="33"/>
      <x:c r="U803" s="33"/>
      <x:c r="Y803" s="37"/>
      <x:c r="Z803" s="37"/>
      <x:c r="AJ803" s="33"/>
    </x:row>
    <x:row r="804">
      <x:c r="P804" s="41"/>
      <x:c r="Q804" s="41"/>
      <x:c r="R804" s="33"/>
      <x:c r="S804" s="33"/>
      <x:c r="T804" s="33"/>
      <x:c r="U804" s="33"/>
      <x:c r="Y804" s="37"/>
      <x:c r="Z804" s="37"/>
      <x:c r="AJ804" s="33"/>
    </x:row>
    <x:row r="805">
      <x:c r="P805" s="41"/>
      <x:c r="Q805" s="41"/>
      <x:c r="R805" s="33"/>
      <x:c r="S805" s="33"/>
      <x:c r="T805" s="33"/>
      <x:c r="U805" s="33"/>
      <x:c r="Y805" s="37"/>
      <x:c r="Z805" s="37"/>
      <x:c r="AJ805" s="33"/>
    </x:row>
    <x:row r="806">
      <x:c r="P806" s="41"/>
      <x:c r="Q806" s="41"/>
      <x:c r="R806" s="33"/>
      <x:c r="S806" s="33"/>
      <x:c r="T806" s="33"/>
      <x:c r="U806" s="33"/>
      <x:c r="Y806" s="37"/>
      <x:c r="Z806" s="37"/>
      <x:c r="AJ806" s="33"/>
    </x:row>
    <x:row r="807">
      <x:c r="P807" s="41"/>
      <x:c r="Q807" s="41"/>
      <x:c r="R807" s="33"/>
      <x:c r="S807" s="33"/>
      <x:c r="T807" s="33"/>
      <x:c r="U807" s="33"/>
      <x:c r="Y807" s="37"/>
      <x:c r="Z807" s="37"/>
      <x:c r="AJ807" s="33"/>
    </x:row>
    <x:row r="808">
      <x:c r="P808" s="41"/>
      <x:c r="Q808" s="41"/>
      <x:c r="R808" s="33"/>
      <x:c r="S808" s="33"/>
      <x:c r="T808" s="33"/>
      <x:c r="U808" s="33"/>
      <x:c r="Y808" s="37"/>
      <x:c r="Z808" s="37"/>
      <x:c r="AJ808" s="33"/>
    </x:row>
    <x:row r="809">
      <x:c r="P809" s="41"/>
      <x:c r="Q809" s="41"/>
      <x:c r="R809" s="33"/>
      <x:c r="S809" s="33"/>
      <x:c r="T809" s="33"/>
      <x:c r="U809" s="33"/>
      <x:c r="Y809" s="37"/>
      <x:c r="Z809" s="37"/>
      <x:c r="AJ809" s="33"/>
    </x:row>
    <x:row r="810">
      <x:c r="P810" s="41"/>
      <x:c r="Q810" s="41"/>
      <x:c r="R810" s="33"/>
      <x:c r="S810" s="33"/>
      <x:c r="T810" s="33"/>
      <x:c r="U810" s="33"/>
      <x:c r="Y810" s="37"/>
      <x:c r="Z810" s="37"/>
      <x:c r="AJ810" s="33"/>
    </x:row>
    <x:row r="811">
      <x:c r="P811" s="41"/>
      <x:c r="Q811" s="41"/>
      <x:c r="R811" s="33"/>
      <x:c r="S811" s="33"/>
      <x:c r="T811" s="33"/>
      <x:c r="U811" s="33"/>
      <x:c r="Y811" s="37"/>
      <x:c r="Z811" s="37"/>
      <x:c r="AJ811" s="33"/>
    </x:row>
    <x:row r="812">
      <x:c r="P812" s="41"/>
      <x:c r="Q812" s="41"/>
      <x:c r="R812" s="33"/>
      <x:c r="S812" s="33"/>
      <x:c r="T812" s="33"/>
      <x:c r="U812" s="33"/>
      <x:c r="Y812" s="37"/>
      <x:c r="Z812" s="37"/>
      <x:c r="AJ812" s="33"/>
    </x:row>
    <x:row r="813">
      <x:c r="P813" s="41"/>
      <x:c r="Q813" s="41"/>
      <x:c r="R813" s="33"/>
      <x:c r="S813" s="33"/>
      <x:c r="T813" s="33"/>
      <x:c r="U813" s="33"/>
      <x:c r="Y813" s="37"/>
      <x:c r="Z813" s="37"/>
      <x:c r="AJ813" s="33"/>
    </x:row>
    <x:row r="814">
      <x:c r="P814" s="41"/>
      <x:c r="Q814" s="41"/>
      <x:c r="R814" s="33"/>
      <x:c r="S814" s="33"/>
      <x:c r="T814" s="33"/>
      <x:c r="U814" s="33"/>
      <x:c r="Y814" s="37"/>
      <x:c r="Z814" s="37"/>
      <x:c r="AJ814" s="33"/>
    </x:row>
    <x:row r="815">
      <x:c r="P815" s="41"/>
      <x:c r="Q815" s="41"/>
      <x:c r="R815" s="33"/>
      <x:c r="S815" s="33"/>
      <x:c r="T815" s="33"/>
      <x:c r="U815" s="33"/>
      <x:c r="Y815" s="37"/>
      <x:c r="Z815" s="37"/>
      <x:c r="AJ815" s="33"/>
    </x:row>
    <x:row r="816">
      <x:c r="P816" s="41"/>
      <x:c r="Q816" s="41"/>
      <x:c r="R816" s="33"/>
      <x:c r="S816" s="33"/>
      <x:c r="T816" s="33"/>
      <x:c r="U816" s="33"/>
      <x:c r="Y816" s="37"/>
      <x:c r="Z816" s="37"/>
      <x:c r="AJ816" s="33"/>
    </x:row>
    <x:row r="817">
      <x:c r="P817" s="41"/>
      <x:c r="Q817" s="41"/>
      <x:c r="R817" s="33"/>
      <x:c r="S817" s="33"/>
      <x:c r="T817" s="33"/>
      <x:c r="U817" s="33"/>
      <x:c r="Y817" s="37"/>
      <x:c r="Z817" s="37"/>
      <x:c r="AJ817" s="33"/>
    </x:row>
    <x:row r="818">
      <x:c r="P818" s="41"/>
      <x:c r="Q818" s="41"/>
      <x:c r="R818" s="33"/>
      <x:c r="S818" s="33"/>
      <x:c r="T818" s="33"/>
      <x:c r="U818" s="33"/>
      <x:c r="Y818" s="37"/>
      <x:c r="Z818" s="37"/>
      <x:c r="AJ818" s="33"/>
    </x:row>
    <x:row r="819">
      <x:c r="P819" s="41"/>
      <x:c r="Q819" s="41"/>
      <x:c r="R819" s="33"/>
      <x:c r="S819" s="33"/>
      <x:c r="T819" s="33"/>
      <x:c r="U819" s="33"/>
      <x:c r="Y819" s="37"/>
      <x:c r="Z819" s="37"/>
      <x:c r="AJ819" s="33"/>
    </x:row>
    <x:row r="820">
      <x:c r="P820" s="41"/>
      <x:c r="Q820" s="41"/>
      <x:c r="R820" s="33"/>
      <x:c r="S820" s="33"/>
      <x:c r="T820" s="33"/>
      <x:c r="U820" s="33"/>
      <x:c r="Y820" s="37"/>
      <x:c r="Z820" s="37"/>
      <x:c r="AJ820" s="33"/>
    </x:row>
    <x:row r="821">
      <x:c r="P821" s="41"/>
      <x:c r="Q821" s="41"/>
      <x:c r="R821" s="33"/>
      <x:c r="S821" s="33"/>
      <x:c r="T821" s="33"/>
      <x:c r="U821" s="33"/>
      <x:c r="Y821" s="37"/>
      <x:c r="Z821" s="37"/>
      <x:c r="AJ821" s="33"/>
    </x:row>
    <x:row r="822">
      <x:c r="P822" s="41"/>
      <x:c r="Q822" s="41"/>
      <x:c r="R822" s="33"/>
      <x:c r="S822" s="33"/>
      <x:c r="T822" s="33"/>
      <x:c r="U822" s="33"/>
      <x:c r="Y822" s="37"/>
      <x:c r="Z822" s="37"/>
      <x:c r="AJ822" s="33"/>
    </x:row>
    <x:row r="823">
      <x:c r="P823" s="41"/>
      <x:c r="Q823" s="41"/>
      <x:c r="R823" s="33"/>
      <x:c r="S823" s="33"/>
      <x:c r="T823" s="33"/>
      <x:c r="U823" s="33"/>
      <x:c r="Y823" s="37"/>
      <x:c r="Z823" s="37"/>
      <x:c r="AJ823" s="33"/>
    </x:row>
    <x:row r="824">
      <x:c r="P824" s="41"/>
      <x:c r="Q824" s="41"/>
      <x:c r="R824" s="33"/>
      <x:c r="S824" s="33"/>
      <x:c r="T824" s="33"/>
      <x:c r="U824" s="33"/>
      <x:c r="Y824" s="37"/>
      <x:c r="Z824" s="37"/>
      <x:c r="AJ824" s="33"/>
    </x:row>
    <x:row r="825">
      <x:c r="P825" s="41"/>
      <x:c r="Q825" s="41"/>
      <x:c r="R825" s="33"/>
      <x:c r="S825" s="33"/>
      <x:c r="T825" s="33"/>
      <x:c r="U825" s="33"/>
      <x:c r="Y825" s="37"/>
      <x:c r="Z825" s="37"/>
      <x:c r="AJ825" s="33"/>
    </x:row>
    <x:row r="826">
      <x:c r="P826" s="41"/>
      <x:c r="Q826" s="41"/>
      <x:c r="R826" s="33"/>
      <x:c r="S826" s="33"/>
      <x:c r="T826" s="33"/>
      <x:c r="U826" s="33"/>
      <x:c r="Y826" s="37"/>
      <x:c r="Z826" s="37"/>
      <x:c r="AJ826" s="33"/>
    </x:row>
    <x:row r="827">
      <x:c r="P827" s="41"/>
      <x:c r="Q827" s="41"/>
      <x:c r="R827" s="33"/>
      <x:c r="S827" s="33"/>
      <x:c r="T827" s="33"/>
      <x:c r="U827" s="33"/>
      <x:c r="Y827" s="37"/>
      <x:c r="Z827" s="37"/>
      <x:c r="AJ827" s="33"/>
    </x:row>
    <x:row r="828">
      <x:c r="P828" s="41"/>
      <x:c r="Q828" s="41"/>
      <x:c r="R828" s="33"/>
      <x:c r="S828" s="33"/>
      <x:c r="T828" s="33"/>
      <x:c r="U828" s="33"/>
      <x:c r="Y828" s="37"/>
      <x:c r="Z828" s="37"/>
      <x:c r="AJ828" s="33"/>
    </x:row>
    <x:row r="829">
      <x:c r="P829" s="41"/>
      <x:c r="Q829" s="41"/>
      <x:c r="R829" s="33"/>
      <x:c r="S829" s="33"/>
      <x:c r="T829" s="33"/>
      <x:c r="U829" s="33"/>
      <x:c r="Y829" s="37"/>
      <x:c r="Z829" s="37"/>
      <x:c r="AJ829" s="33"/>
    </x:row>
    <x:row r="830">
      <x:c r="P830" s="41"/>
      <x:c r="Q830" s="41"/>
      <x:c r="R830" s="33"/>
      <x:c r="S830" s="33"/>
      <x:c r="T830" s="33"/>
      <x:c r="U830" s="33"/>
      <x:c r="Y830" s="37"/>
      <x:c r="Z830" s="37"/>
      <x:c r="AJ830" s="33"/>
    </x:row>
    <x:row r="831">
      <x:c r="P831" s="41"/>
      <x:c r="Q831" s="41"/>
      <x:c r="R831" s="33"/>
      <x:c r="S831" s="33"/>
      <x:c r="T831" s="33"/>
      <x:c r="U831" s="33"/>
      <x:c r="Y831" s="37"/>
      <x:c r="Z831" s="37"/>
      <x:c r="AJ831" s="33"/>
    </x:row>
    <x:row r="832">
      <x:c r="P832" s="41"/>
      <x:c r="Q832" s="41"/>
      <x:c r="R832" s="33"/>
      <x:c r="S832" s="33"/>
      <x:c r="T832" s="33"/>
      <x:c r="U832" s="33"/>
      <x:c r="Y832" s="37"/>
      <x:c r="Z832" s="37"/>
      <x:c r="AJ832" s="33"/>
    </x:row>
    <x:row r="833">
      <x:c r="P833" s="41"/>
      <x:c r="Q833" s="41"/>
      <x:c r="R833" s="33"/>
      <x:c r="S833" s="33"/>
      <x:c r="T833" s="33"/>
      <x:c r="U833" s="33"/>
      <x:c r="Y833" s="37"/>
      <x:c r="Z833" s="37"/>
      <x:c r="AJ833" s="33"/>
    </x:row>
    <x:row r="834">
      <x:c r="P834" s="41"/>
      <x:c r="Q834" s="41"/>
      <x:c r="R834" s="33"/>
      <x:c r="S834" s="33"/>
      <x:c r="T834" s="33"/>
      <x:c r="U834" s="33"/>
      <x:c r="Y834" s="37"/>
      <x:c r="Z834" s="37"/>
      <x:c r="AJ834" s="33"/>
    </x:row>
    <x:row r="835">
      <x:c r="P835" s="41"/>
      <x:c r="Q835" s="41"/>
      <x:c r="R835" s="33"/>
      <x:c r="S835" s="33"/>
      <x:c r="T835" s="33"/>
      <x:c r="U835" s="33"/>
      <x:c r="Y835" s="37"/>
      <x:c r="Z835" s="37"/>
      <x:c r="AJ835" s="33"/>
    </x:row>
    <x:row r="836">
      <x:c r="P836" s="41"/>
      <x:c r="Q836" s="41"/>
      <x:c r="R836" s="33"/>
      <x:c r="S836" s="33"/>
      <x:c r="T836" s="33"/>
      <x:c r="U836" s="33"/>
      <x:c r="Y836" s="37"/>
      <x:c r="Z836" s="37"/>
      <x:c r="AJ836" s="33"/>
    </x:row>
    <x:row r="837">
      <x:c r="P837" s="41"/>
      <x:c r="Q837" s="41"/>
      <x:c r="R837" s="33"/>
      <x:c r="S837" s="33"/>
      <x:c r="T837" s="33"/>
      <x:c r="U837" s="33"/>
      <x:c r="Y837" s="37"/>
      <x:c r="Z837" s="37"/>
      <x:c r="AJ837" s="33"/>
    </x:row>
    <x:row r="838">
      <x:c r="P838" s="41"/>
      <x:c r="Q838" s="41"/>
      <x:c r="R838" s="33"/>
      <x:c r="S838" s="33"/>
      <x:c r="T838" s="33"/>
      <x:c r="U838" s="33"/>
      <x:c r="Y838" s="37"/>
      <x:c r="Z838" s="37"/>
      <x:c r="AJ838" s="33"/>
    </x:row>
    <x:row r="839">
      <x:c r="P839" s="41"/>
      <x:c r="Q839" s="41"/>
      <x:c r="R839" s="33"/>
      <x:c r="S839" s="33"/>
      <x:c r="T839" s="33"/>
      <x:c r="U839" s="33"/>
      <x:c r="Y839" s="37"/>
      <x:c r="Z839" s="37"/>
      <x:c r="AJ839" s="33"/>
    </x:row>
    <x:row r="840">
      <x:c r="P840" s="41"/>
      <x:c r="Q840" s="41"/>
      <x:c r="R840" s="33"/>
      <x:c r="S840" s="33"/>
      <x:c r="T840" s="33"/>
      <x:c r="U840" s="33"/>
      <x:c r="Y840" s="37"/>
      <x:c r="Z840" s="37"/>
      <x:c r="AJ840" s="33"/>
    </x:row>
    <x:row r="841">
      <x:c r="P841" s="41"/>
      <x:c r="Q841" s="41"/>
      <x:c r="R841" s="33"/>
      <x:c r="S841" s="33"/>
      <x:c r="T841" s="33"/>
      <x:c r="U841" s="33"/>
      <x:c r="Y841" s="37"/>
      <x:c r="Z841" s="37"/>
      <x:c r="AJ841" s="33"/>
    </x:row>
    <x:row r="842">
      <x:c r="P842" s="41"/>
      <x:c r="Q842" s="41"/>
      <x:c r="R842" s="33"/>
      <x:c r="S842" s="33"/>
      <x:c r="T842" s="33"/>
      <x:c r="U842" s="33"/>
      <x:c r="Y842" s="37"/>
      <x:c r="Z842" s="37"/>
      <x:c r="AJ842" s="33"/>
    </x:row>
    <x:row r="843">
      <x:c r="P843" s="41"/>
      <x:c r="Q843" s="41"/>
      <x:c r="R843" s="33"/>
      <x:c r="S843" s="33"/>
      <x:c r="T843" s="33"/>
      <x:c r="U843" s="33"/>
      <x:c r="Y843" s="37"/>
      <x:c r="Z843" s="37"/>
      <x:c r="AJ843" s="33"/>
    </x:row>
    <x:row r="844">
      <x:c r="P844" s="41"/>
      <x:c r="Q844" s="41"/>
      <x:c r="R844" s="33"/>
      <x:c r="S844" s="33"/>
      <x:c r="T844" s="33"/>
      <x:c r="U844" s="33"/>
      <x:c r="Y844" s="37"/>
      <x:c r="Z844" s="37"/>
      <x:c r="AJ844" s="33"/>
    </x:row>
    <x:row r="845">
      <x:c r="P845" s="41"/>
      <x:c r="Q845" s="41"/>
      <x:c r="R845" s="33"/>
      <x:c r="S845" s="33"/>
      <x:c r="T845" s="33"/>
      <x:c r="U845" s="33"/>
      <x:c r="Y845" s="37"/>
      <x:c r="Z845" s="37"/>
      <x:c r="AJ845" s="33"/>
    </x:row>
    <x:row r="846">
      <x:c r="P846" s="41"/>
      <x:c r="Q846" s="41"/>
      <x:c r="R846" s="33"/>
      <x:c r="S846" s="33"/>
      <x:c r="T846" s="33"/>
      <x:c r="U846" s="33"/>
      <x:c r="Y846" s="37"/>
      <x:c r="Z846" s="37"/>
      <x:c r="AJ846" s="33"/>
    </x:row>
    <x:row r="847">
      <x:c r="P847" s="41"/>
      <x:c r="Q847" s="41"/>
      <x:c r="R847" s="33"/>
      <x:c r="S847" s="33"/>
      <x:c r="T847" s="33"/>
      <x:c r="U847" s="33"/>
      <x:c r="Y847" s="37"/>
      <x:c r="Z847" s="37"/>
      <x:c r="AJ847" s="33"/>
    </x:row>
    <x:row r="848">
      <x:c r="P848" s="41"/>
      <x:c r="Q848" s="41"/>
      <x:c r="R848" s="33"/>
      <x:c r="S848" s="33"/>
      <x:c r="T848" s="33"/>
      <x:c r="U848" s="33"/>
      <x:c r="Y848" s="37"/>
      <x:c r="Z848" s="37"/>
      <x:c r="AJ848" s="33"/>
    </x:row>
    <x:row r="849">
      <x:c r="P849" s="41"/>
      <x:c r="Q849" s="41"/>
      <x:c r="R849" s="33"/>
      <x:c r="S849" s="33"/>
      <x:c r="T849" s="33"/>
      <x:c r="U849" s="33"/>
      <x:c r="Y849" s="37"/>
      <x:c r="Z849" s="37"/>
      <x:c r="AJ849" s="33"/>
    </x:row>
    <x:row r="850">
      <x:c r="P850" s="41"/>
      <x:c r="Q850" s="41"/>
      <x:c r="R850" s="33"/>
      <x:c r="S850" s="33"/>
      <x:c r="T850" s="33"/>
      <x:c r="U850" s="33"/>
      <x:c r="Y850" s="37"/>
      <x:c r="Z850" s="37"/>
      <x:c r="AJ850" s="33"/>
    </x:row>
    <x:row r="851">
      <x:c r="P851" s="41"/>
      <x:c r="Q851" s="41"/>
      <x:c r="R851" s="33"/>
      <x:c r="S851" s="33"/>
      <x:c r="T851" s="33"/>
      <x:c r="U851" s="33"/>
      <x:c r="Y851" s="37"/>
      <x:c r="Z851" s="37"/>
      <x:c r="AJ851" s="33"/>
    </x:row>
    <x:row r="852">
      <x:c r="P852" s="41"/>
      <x:c r="Q852" s="41"/>
      <x:c r="R852" s="33"/>
      <x:c r="S852" s="33"/>
      <x:c r="T852" s="33"/>
      <x:c r="U852" s="33"/>
      <x:c r="Y852" s="37"/>
      <x:c r="Z852" s="37"/>
      <x:c r="AJ852" s="33"/>
    </x:row>
    <x:row r="853">
      <x:c r="P853" s="41"/>
      <x:c r="Q853" s="41"/>
      <x:c r="R853" s="33"/>
      <x:c r="S853" s="33"/>
      <x:c r="T853" s="33"/>
      <x:c r="U853" s="33"/>
      <x:c r="Y853" s="37"/>
      <x:c r="Z853" s="37"/>
      <x:c r="AJ853" s="33"/>
    </x:row>
    <x:row r="854">
      <x:c r="P854" s="41"/>
      <x:c r="Q854" s="41"/>
      <x:c r="R854" s="33"/>
      <x:c r="S854" s="33"/>
      <x:c r="T854" s="33"/>
      <x:c r="U854" s="33"/>
      <x:c r="Y854" s="37"/>
      <x:c r="Z854" s="37"/>
      <x:c r="AJ854" s="33"/>
    </x:row>
    <x:row r="855">
      <x:c r="P855" s="41"/>
      <x:c r="Q855" s="41"/>
      <x:c r="R855" s="33"/>
      <x:c r="S855" s="33"/>
      <x:c r="T855" s="33"/>
      <x:c r="U855" s="33"/>
      <x:c r="Y855" s="37"/>
      <x:c r="Z855" s="37"/>
      <x:c r="AJ855" s="33"/>
    </x:row>
    <x:row r="856">
      <x:c r="P856" s="41"/>
      <x:c r="Q856" s="41"/>
      <x:c r="R856" s="33"/>
      <x:c r="S856" s="33"/>
      <x:c r="T856" s="33"/>
      <x:c r="U856" s="33"/>
      <x:c r="Y856" s="37"/>
      <x:c r="Z856" s="37"/>
      <x:c r="AJ856" s="33"/>
    </x:row>
    <x:row r="857">
      <x:c r="P857" s="41"/>
      <x:c r="Q857" s="41"/>
      <x:c r="R857" s="33"/>
      <x:c r="S857" s="33"/>
      <x:c r="T857" s="33"/>
      <x:c r="U857" s="33"/>
      <x:c r="Y857" s="37"/>
      <x:c r="Z857" s="37"/>
      <x:c r="AJ857" s="33"/>
    </x:row>
    <x:row r="858">
      <x:c r="P858" s="41"/>
      <x:c r="Q858" s="41"/>
      <x:c r="R858" s="33"/>
      <x:c r="S858" s="33"/>
      <x:c r="T858" s="33"/>
      <x:c r="U858" s="33"/>
      <x:c r="Y858" s="37"/>
      <x:c r="Z858" s="37"/>
      <x:c r="AJ858" s="33"/>
    </x:row>
    <x:row r="859">
      <x:c r="P859" s="41"/>
      <x:c r="Q859" s="41"/>
      <x:c r="R859" s="33"/>
      <x:c r="S859" s="33"/>
      <x:c r="T859" s="33"/>
      <x:c r="U859" s="33"/>
      <x:c r="Y859" s="37"/>
      <x:c r="Z859" s="37"/>
      <x:c r="AJ859" s="33"/>
    </x:row>
    <x:row r="860">
      <x:c r="P860" s="41"/>
      <x:c r="Q860" s="41"/>
      <x:c r="R860" s="33"/>
      <x:c r="S860" s="33"/>
      <x:c r="T860" s="33"/>
      <x:c r="U860" s="33"/>
      <x:c r="Y860" s="37"/>
      <x:c r="Z860" s="37"/>
      <x:c r="AJ860" s="33"/>
    </x:row>
    <x:row r="861">
      <x:c r="P861" s="41"/>
      <x:c r="Q861" s="41"/>
      <x:c r="R861" s="33"/>
      <x:c r="S861" s="33"/>
      <x:c r="T861" s="33"/>
      <x:c r="U861" s="33"/>
      <x:c r="Y861" s="37"/>
      <x:c r="Z861" s="37"/>
      <x:c r="AJ861" s="33"/>
    </x:row>
    <x:row r="862">
      <x:c r="P862" s="41"/>
      <x:c r="Q862" s="41"/>
      <x:c r="R862" s="33"/>
      <x:c r="S862" s="33"/>
      <x:c r="T862" s="33"/>
      <x:c r="U862" s="33"/>
      <x:c r="Y862" s="37"/>
      <x:c r="Z862" s="37"/>
      <x:c r="AJ862" s="33"/>
    </x:row>
    <x:row r="863">
      <x:c r="P863" s="41"/>
      <x:c r="Q863" s="41"/>
      <x:c r="R863" s="33"/>
      <x:c r="S863" s="33"/>
      <x:c r="T863" s="33"/>
      <x:c r="U863" s="33"/>
      <x:c r="Y863" s="37"/>
      <x:c r="Z863" s="37"/>
      <x:c r="AJ863" s="33"/>
    </x:row>
    <x:row r="864">
      <x:c r="P864" s="41"/>
      <x:c r="Q864" s="41"/>
      <x:c r="R864" s="33"/>
      <x:c r="S864" s="33"/>
      <x:c r="T864" s="33"/>
      <x:c r="U864" s="33"/>
      <x:c r="Y864" s="37"/>
      <x:c r="Z864" s="37"/>
      <x:c r="AJ864" s="33"/>
    </x:row>
    <x:row r="865">
      <x:c r="P865" s="41"/>
      <x:c r="Q865" s="41"/>
      <x:c r="R865" s="33"/>
      <x:c r="S865" s="33"/>
      <x:c r="T865" s="33"/>
      <x:c r="U865" s="33"/>
      <x:c r="Y865" s="37"/>
      <x:c r="Z865" s="37"/>
      <x:c r="AJ865" s="33"/>
    </x:row>
    <x:row r="866">
      <x:c r="P866" s="41"/>
      <x:c r="Q866" s="41"/>
      <x:c r="R866" s="33"/>
      <x:c r="S866" s="33"/>
      <x:c r="T866" s="33"/>
      <x:c r="U866" s="33"/>
      <x:c r="Y866" s="37"/>
      <x:c r="Z866" s="37"/>
      <x:c r="AJ866" s="33"/>
    </x:row>
    <x:row r="867">
      <x:c r="P867" s="41"/>
      <x:c r="Q867" s="41"/>
      <x:c r="R867" s="33"/>
      <x:c r="S867" s="33"/>
      <x:c r="T867" s="33"/>
      <x:c r="U867" s="33"/>
      <x:c r="Y867" s="37"/>
      <x:c r="Z867" s="37"/>
      <x:c r="AJ867" s="33"/>
    </x:row>
    <x:row r="868">
      <x:c r="P868" s="41"/>
      <x:c r="Q868" s="41"/>
      <x:c r="R868" s="33"/>
      <x:c r="S868" s="33"/>
      <x:c r="T868" s="33"/>
      <x:c r="U868" s="33"/>
      <x:c r="Y868" s="37"/>
      <x:c r="Z868" s="37"/>
      <x:c r="AJ868" s="33"/>
    </x:row>
    <x:row r="869">
      <x:c r="P869" s="41"/>
      <x:c r="Q869" s="41"/>
      <x:c r="R869" s="33"/>
      <x:c r="S869" s="33"/>
      <x:c r="T869" s="33"/>
      <x:c r="U869" s="33"/>
      <x:c r="Y869" s="37"/>
      <x:c r="Z869" s="37"/>
      <x:c r="AJ869" s="33"/>
    </x:row>
    <x:row r="870">
      <x:c r="P870" s="41"/>
      <x:c r="Q870" s="41"/>
      <x:c r="R870" s="33"/>
      <x:c r="S870" s="33"/>
      <x:c r="T870" s="33"/>
      <x:c r="U870" s="33"/>
      <x:c r="Y870" s="37"/>
      <x:c r="Z870" s="37"/>
      <x:c r="AJ870" s="33"/>
    </x:row>
    <x:row r="871">
      <x:c r="P871" s="41"/>
      <x:c r="Q871" s="41"/>
      <x:c r="R871" s="33"/>
      <x:c r="S871" s="33"/>
      <x:c r="T871" s="33"/>
      <x:c r="U871" s="33"/>
      <x:c r="Y871" s="37"/>
      <x:c r="Z871" s="37"/>
      <x:c r="AJ871" s="33"/>
    </x:row>
    <x:row r="872">
      <x:c r="P872" s="41"/>
      <x:c r="Q872" s="41"/>
      <x:c r="R872" s="33"/>
      <x:c r="S872" s="33"/>
      <x:c r="T872" s="33"/>
      <x:c r="U872" s="33"/>
      <x:c r="Y872" s="37"/>
      <x:c r="Z872" s="37"/>
      <x:c r="AJ872" s="33"/>
    </x:row>
    <x:row r="873">
      <x:c r="P873" s="41"/>
      <x:c r="Q873" s="41"/>
      <x:c r="R873" s="33"/>
      <x:c r="S873" s="33"/>
      <x:c r="T873" s="33"/>
      <x:c r="U873" s="33"/>
      <x:c r="Y873" s="37"/>
      <x:c r="Z873" s="37"/>
      <x:c r="AJ873" s="33"/>
    </x:row>
    <x:row r="874">
      <x:c r="P874" s="41"/>
      <x:c r="Q874" s="41"/>
      <x:c r="R874" s="33"/>
      <x:c r="S874" s="33"/>
      <x:c r="T874" s="33"/>
      <x:c r="U874" s="33"/>
      <x:c r="Y874" s="37"/>
      <x:c r="Z874" s="37"/>
      <x:c r="AJ874" s="33"/>
    </x:row>
    <x:row r="875">
      <x:c r="P875" s="41"/>
      <x:c r="Q875" s="41"/>
      <x:c r="R875" s="33"/>
      <x:c r="S875" s="33"/>
      <x:c r="T875" s="33"/>
      <x:c r="U875" s="33"/>
      <x:c r="Y875" s="37"/>
      <x:c r="Z875" s="37"/>
      <x:c r="AJ875" s="33"/>
    </x:row>
    <x:row r="876">
      <x:c r="P876" s="41"/>
      <x:c r="Q876" s="41"/>
      <x:c r="R876" s="33"/>
      <x:c r="S876" s="33"/>
      <x:c r="T876" s="33"/>
      <x:c r="U876" s="33"/>
      <x:c r="Y876" s="37"/>
      <x:c r="Z876" s="37"/>
      <x:c r="AJ876" s="33"/>
    </x:row>
    <x:row r="877">
      <x:c r="P877" s="41"/>
      <x:c r="Q877" s="41"/>
      <x:c r="R877" s="33"/>
      <x:c r="S877" s="33"/>
      <x:c r="T877" s="33"/>
      <x:c r="U877" s="33"/>
      <x:c r="Y877" s="37"/>
      <x:c r="Z877" s="37"/>
      <x:c r="AJ877" s="33"/>
    </x:row>
    <x:row r="878">
      <x:c r="P878" s="41"/>
      <x:c r="Q878" s="41"/>
      <x:c r="R878" s="33"/>
      <x:c r="S878" s="33"/>
      <x:c r="T878" s="33"/>
      <x:c r="U878" s="33"/>
      <x:c r="Y878" s="37"/>
      <x:c r="Z878" s="37"/>
      <x:c r="AJ878" s="33"/>
    </x:row>
    <x:row r="879">
      <x:c r="P879" s="41"/>
      <x:c r="Q879" s="41"/>
      <x:c r="R879" s="33"/>
      <x:c r="S879" s="33"/>
      <x:c r="T879" s="33"/>
      <x:c r="U879" s="33"/>
      <x:c r="Y879" s="37"/>
      <x:c r="Z879" s="37"/>
      <x:c r="AJ879" s="33"/>
    </x:row>
    <x:row r="880">
      <x:c r="P880" s="41"/>
      <x:c r="Q880" s="41"/>
      <x:c r="R880" s="33"/>
      <x:c r="S880" s="33"/>
      <x:c r="T880" s="33"/>
      <x:c r="U880" s="33"/>
      <x:c r="Y880" s="37"/>
      <x:c r="Z880" s="37"/>
      <x:c r="AJ880" s="33"/>
    </x:row>
    <x:row r="881">
      <x:c r="P881" s="41"/>
      <x:c r="Q881" s="41"/>
      <x:c r="R881" s="33"/>
      <x:c r="S881" s="33"/>
      <x:c r="T881" s="33"/>
      <x:c r="U881" s="33"/>
      <x:c r="Y881" s="37"/>
      <x:c r="Z881" s="37"/>
      <x:c r="AJ881" s="33"/>
    </x:row>
    <x:row r="882">
      <x:c r="P882" s="41"/>
      <x:c r="Q882" s="41"/>
      <x:c r="R882" s="33"/>
      <x:c r="S882" s="33"/>
      <x:c r="T882" s="33"/>
      <x:c r="U882" s="33"/>
      <x:c r="Y882" s="37"/>
      <x:c r="Z882" s="37"/>
      <x:c r="AJ882" s="33"/>
    </x:row>
    <x:row r="883">
      <x:c r="P883" s="41"/>
      <x:c r="Q883" s="41"/>
      <x:c r="R883" s="33"/>
      <x:c r="S883" s="33"/>
      <x:c r="T883" s="33"/>
      <x:c r="U883" s="33"/>
      <x:c r="Y883" s="37"/>
      <x:c r="Z883" s="37"/>
      <x:c r="AJ883" s="33"/>
    </x:row>
    <x:row r="884">
      <x:c r="P884" s="41"/>
      <x:c r="Q884" s="41"/>
      <x:c r="R884" s="33"/>
      <x:c r="S884" s="33"/>
      <x:c r="T884" s="33"/>
      <x:c r="U884" s="33"/>
      <x:c r="Y884" s="37"/>
      <x:c r="Z884" s="37"/>
      <x:c r="AJ884" s="33"/>
    </x:row>
    <x:row r="885">
      <x:c r="P885" s="41"/>
      <x:c r="Q885" s="41"/>
      <x:c r="R885" s="33"/>
      <x:c r="S885" s="33"/>
      <x:c r="T885" s="33"/>
      <x:c r="U885" s="33"/>
      <x:c r="Y885" s="37"/>
      <x:c r="Z885" s="37"/>
      <x:c r="AJ885" s="33"/>
    </x:row>
    <x:row r="886">
      <x:c r="P886" s="41"/>
      <x:c r="Q886" s="41"/>
      <x:c r="R886" s="33"/>
      <x:c r="S886" s="33"/>
      <x:c r="T886" s="33"/>
      <x:c r="U886" s="33"/>
      <x:c r="Y886" s="37"/>
      <x:c r="Z886" s="37"/>
      <x:c r="AJ886" s="33"/>
    </x:row>
    <x:row r="887">
      <x:c r="P887" s="41"/>
      <x:c r="Q887" s="41"/>
      <x:c r="R887" s="33"/>
      <x:c r="S887" s="33"/>
      <x:c r="T887" s="33"/>
      <x:c r="U887" s="33"/>
      <x:c r="Y887" s="37"/>
      <x:c r="Z887" s="37"/>
      <x:c r="AJ887" s="33"/>
    </x:row>
    <x:row r="888">
      <x:c r="P888" s="41"/>
      <x:c r="Q888" s="41"/>
      <x:c r="R888" s="33"/>
      <x:c r="S888" s="33"/>
      <x:c r="T888" s="33"/>
      <x:c r="U888" s="33"/>
      <x:c r="Y888" s="37"/>
      <x:c r="Z888" s="37"/>
      <x:c r="AJ888" s="33"/>
    </x:row>
    <x:row r="889">
      <x:c r="P889" s="41"/>
      <x:c r="Q889" s="41"/>
      <x:c r="R889" s="33"/>
      <x:c r="S889" s="33"/>
      <x:c r="T889" s="33"/>
      <x:c r="U889" s="33"/>
      <x:c r="Y889" s="37"/>
      <x:c r="Z889" s="37"/>
      <x:c r="AJ889" s="33"/>
    </x:row>
    <x:row r="890">
      <x:c r="P890" s="41"/>
      <x:c r="Q890" s="41"/>
      <x:c r="R890" s="33"/>
      <x:c r="S890" s="33"/>
      <x:c r="T890" s="33"/>
      <x:c r="U890" s="33"/>
      <x:c r="Y890" s="37"/>
      <x:c r="Z890" s="37"/>
      <x:c r="AJ890" s="33"/>
    </x:row>
    <x:row r="891">
      <x:c r="P891" s="41"/>
      <x:c r="Q891" s="41"/>
      <x:c r="R891" s="33"/>
      <x:c r="S891" s="33"/>
      <x:c r="T891" s="33"/>
      <x:c r="U891" s="33"/>
      <x:c r="Y891" s="37"/>
      <x:c r="Z891" s="37"/>
      <x:c r="AJ891" s="33"/>
    </x:row>
    <x:row r="892">
      <x:c r="P892" s="41"/>
      <x:c r="Q892" s="41"/>
      <x:c r="R892" s="33"/>
      <x:c r="S892" s="33"/>
      <x:c r="T892" s="33"/>
      <x:c r="U892" s="33"/>
      <x:c r="Y892" s="37"/>
      <x:c r="Z892" s="37"/>
      <x:c r="AJ892" s="33"/>
    </x:row>
    <x:row r="893">
      <x:c r="P893" s="41"/>
      <x:c r="Q893" s="41"/>
      <x:c r="R893" s="33"/>
      <x:c r="S893" s="33"/>
      <x:c r="T893" s="33"/>
      <x:c r="U893" s="33"/>
      <x:c r="Y893" s="37"/>
      <x:c r="Z893" s="37"/>
      <x:c r="AJ893" s="33"/>
    </x:row>
    <x:row r="894">
      <x:c r="P894" s="41"/>
      <x:c r="Q894" s="41"/>
      <x:c r="R894" s="33"/>
      <x:c r="S894" s="33"/>
      <x:c r="T894" s="33"/>
      <x:c r="U894" s="33"/>
      <x:c r="Y894" s="37"/>
      <x:c r="Z894" s="37"/>
      <x:c r="AJ894" s="33"/>
    </x:row>
    <x:row r="895">
      <x:c r="P895" s="41"/>
      <x:c r="Q895" s="41"/>
      <x:c r="R895" s="33"/>
      <x:c r="S895" s="33"/>
      <x:c r="T895" s="33"/>
      <x:c r="U895" s="33"/>
      <x:c r="Y895" s="37"/>
      <x:c r="Z895" s="37"/>
      <x:c r="AJ895" s="33"/>
    </x:row>
    <x:row r="896">
      <x:c r="P896" s="41"/>
      <x:c r="Q896" s="41"/>
      <x:c r="R896" s="33"/>
      <x:c r="S896" s="33"/>
      <x:c r="T896" s="33"/>
      <x:c r="U896" s="33"/>
      <x:c r="Y896" s="37"/>
      <x:c r="Z896" s="37"/>
      <x:c r="AJ896" s="33"/>
    </x:row>
    <x:row r="897">
      <x:c r="P897" s="41"/>
      <x:c r="Q897" s="41"/>
      <x:c r="R897" s="33"/>
      <x:c r="S897" s="33"/>
      <x:c r="T897" s="33"/>
      <x:c r="U897" s="33"/>
      <x:c r="Y897" s="37"/>
      <x:c r="Z897" s="37"/>
      <x:c r="AJ897" s="33"/>
    </x:row>
    <x:row r="898">
      <x:c r="P898" s="41"/>
      <x:c r="Q898" s="41"/>
      <x:c r="R898" s="33"/>
      <x:c r="S898" s="33"/>
      <x:c r="T898" s="33"/>
      <x:c r="U898" s="33"/>
      <x:c r="Y898" s="37"/>
      <x:c r="Z898" s="37"/>
      <x:c r="AJ898" s="33"/>
    </x:row>
    <x:row r="899">
      <x:c r="P899" s="41"/>
      <x:c r="Q899" s="41"/>
      <x:c r="R899" s="33"/>
      <x:c r="S899" s="33"/>
      <x:c r="T899" s="33"/>
      <x:c r="U899" s="33"/>
      <x:c r="Y899" s="37"/>
      <x:c r="Z899" s="37"/>
      <x:c r="AJ899" s="33"/>
    </x:row>
    <x:row r="900">
      <x:c r="P900" s="41"/>
      <x:c r="Q900" s="41"/>
      <x:c r="R900" s="33"/>
      <x:c r="S900" s="33"/>
      <x:c r="T900" s="33"/>
      <x:c r="U900" s="33"/>
      <x:c r="Y900" s="37"/>
      <x:c r="Z900" s="37"/>
      <x:c r="AJ900" s="33"/>
    </x:row>
    <x:row r="901">
      <x:c r="P901" s="41"/>
      <x:c r="Q901" s="41"/>
      <x:c r="R901" s="33"/>
      <x:c r="S901" s="33"/>
      <x:c r="T901" s="33"/>
      <x:c r="U901" s="33"/>
      <x:c r="Y901" s="37"/>
      <x:c r="Z901" s="37"/>
      <x:c r="AJ901" s="33"/>
    </x:row>
    <x:row r="902">
      <x:c r="P902" s="41"/>
      <x:c r="Q902" s="41"/>
      <x:c r="R902" s="33"/>
      <x:c r="S902" s="33"/>
      <x:c r="T902" s="33"/>
      <x:c r="U902" s="33"/>
      <x:c r="Y902" s="37"/>
      <x:c r="Z902" s="37"/>
      <x:c r="AJ902" s="33"/>
    </x:row>
    <x:row r="903">
      <x:c r="P903" s="41"/>
      <x:c r="Q903" s="41"/>
      <x:c r="R903" s="33"/>
      <x:c r="S903" s="33"/>
      <x:c r="T903" s="33"/>
      <x:c r="U903" s="33"/>
      <x:c r="Y903" s="37"/>
      <x:c r="Z903" s="37"/>
      <x:c r="AJ903" s="33"/>
    </x:row>
    <x:row r="904">
      <x:c r="P904" s="41"/>
      <x:c r="Q904" s="41"/>
      <x:c r="R904" s="33"/>
      <x:c r="S904" s="33"/>
      <x:c r="T904" s="33"/>
      <x:c r="U904" s="33"/>
      <x:c r="Y904" s="37"/>
      <x:c r="Z904" s="37"/>
      <x:c r="AJ904" s="33"/>
    </x:row>
    <x:row r="905">
      <x:c r="P905" s="41"/>
      <x:c r="Q905" s="41"/>
      <x:c r="R905" s="33"/>
      <x:c r="S905" s="33"/>
      <x:c r="T905" s="33"/>
      <x:c r="U905" s="33"/>
      <x:c r="Y905" s="37"/>
      <x:c r="Z905" s="37"/>
      <x:c r="AJ905" s="33"/>
    </x:row>
    <x:row r="906">
      <x:c r="P906" s="41"/>
      <x:c r="Q906" s="41"/>
      <x:c r="R906" s="33"/>
      <x:c r="S906" s="33"/>
      <x:c r="T906" s="33"/>
      <x:c r="U906" s="33"/>
      <x:c r="Y906" s="37"/>
      <x:c r="Z906" s="37"/>
      <x:c r="AJ906" s="33"/>
    </x:row>
    <x:row r="907">
      <x:c r="P907" s="41"/>
      <x:c r="Q907" s="41"/>
      <x:c r="R907" s="33"/>
      <x:c r="S907" s="33"/>
      <x:c r="T907" s="33"/>
      <x:c r="U907" s="33"/>
      <x:c r="Y907" s="37"/>
      <x:c r="Z907" s="37"/>
      <x:c r="AJ907" s="33"/>
    </x:row>
    <x:row r="908">
      <x:c r="P908" s="41"/>
      <x:c r="Q908" s="41"/>
      <x:c r="R908" s="33"/>
      <x:c r="S908" s="33"/>
      <x:c r="T908" s="33"/>
      <x:c r="U908" s="33"/>
      <x:c r="Y908" s="37"/>
      <x:c r="Z908" s="37"/>
      <x:c r="AJ908" s="33"/>
    </x:row>
    <x:row r="909">
      <x:c r="P909" s="41"/>
      <x:c r="Q909" s="41"/>
      <x:c r="R909" s="33"/>
      <x:c r="S909" s="33"/>
      <x:c r="T909" s="33"/>
      <x:c r="U909" s="33"/>
      <x:c r="Y909" s="37"/>
      <x:c r="Z909" s="37"/>
      <x:c r="AJ909" s="33"/>
    </x:row>
    <x:row r="910">
      <x:c r="P910" s="41"/>
      <x:c r="Q910" s="41"/>
      <x:c r="R910" s="33"/>
      <x:c r="S910" s="33"/>
      <x:c r="T910" s="33"/>
      <x:c r="U910" s="33"/>
      <x:c r="Y910" s="37"/>
      <x:c r="Z910" s="37"/>
      <x:c r="AJ910" s="33"/>
    </x:row>
    <x:row r="911">
      <x:c r="P911" s="41"/>
      <x:c r="Q911" s="41"/>
      <x:c r="R911" s="33"/>
      <x:c r="S911" s="33"/>
      <x:c r="T911" s="33"/>
      <x:c r="U911" s="33"/>
      <x:c r="Y911" s="37"/>
      <x:c r="Z911" s="37"/>
      <x:c r="AJ911" s="33"/>
    </x:row>
    <x:row r="912">
      <x:c r="P912" s="41"/>
      <x:c r="Q912" s="41"/>
      <x:c r="R912" s="33"/>
      <x:c r="S912" s="33"/>
      <x:c r="T912" s="33"/>
      <x:c r="U912" s="33"/>
      <x:c r="Y912" s="37"/>
      <x:c r="Z912" s="37"/>
      <x:c r="AJ912" s="33"/>
    </x:row>
    <x:row r="913">
      <x:c r="P913" s="41"/>
      <x:c r="Q913" s="41"/>
      <x:c r="R913" s="33"/>
      <x:c r="S913" s="33"/>
      <x:c r="T913" s="33"/>
      <x:c r="U913" s="33"/>
      <x:c r="Y913" s="37"/>
      <x:c r="Z913" s="37"/>
      <x:c r="AJ913" s="33"/>
    </x:row>
    <x:row r="914">
      <x:c r="P914" s="41"/>
      <x:c r="Q914" s="41"/>
      <x:c r="R914" s="33"/>
      <x:c r="S914" s="33"/>
      <x:c r="T914" s="33"/>
      <x:c r="U914" s="33"/>
      <x:c r="Y914" s="37"/>
      <x:c r="Z914" s="37"/>
      <x:c r="AJ914" s="33"/>
    </x:row>
    <x:row r="915">
      <x:c r="P915" s="41"/>
      <x:c r="Q915" s="41"/>
      <x:c r="R915" s="33"/>
      <x:c r="S915" s="33"/>
      <x:c r="T915" s="33"/>
      <x:c r="U915" s="33"/>
      <x:c r="Y915" s="37"/>
      <x:c r="Z915" s="37"/>
      <x:c r="AJ915" s="33"/>
    </x:row>
    <x:row r="916">
      <x:c r="P916" s="41"/>
      <x:c r="Q916" s="41"/>
      <x:c r="R916" s="33"/>
      <x:c r="S916" s="33"/>
      <x:c r="T916" s="33"/>
      <x:c r="U916" s="33"/>
      <x:c r="Y916" s="37"/>
      <x:c r="Z916" s="37"/>
      <x:c r="AJ916" s="33"/>
    </x:row>
    <x:row r="917">
      <x:c r="P917" s="41"/>
      <x:c r="Q917" s="41"/>
      <x:c r="R917" s="33"/>
      <x:c r="S917" s="33"/>
      <x:c r="T917" s="33"/>
      <x:c r="U917" s="33"/>
      <x:c r="Y917" s="37"/>
      <x:c r="Z917" s="37"/>
      <x:c r="AJ917" s="33"/>
    </x:row>
    <x:row r="918">
      <x:c r="P918" s="41"/>
      <x:c r="Q918" s="41"/>
      <x:c r="R918" s="33"/>
      <x:c r="S918" s="33"/>
      <x:c r="T918" s="33"/>
      <x:c r="U918" s="33"/>
      <x:c r="Y918" s="37"/>
      <x:c r="Z918" s="37"/>
      <x:c r="AJ918" s="33"/>
    </x:row>
    <x:row r="919">
      <x:c r="P919" s="41"/>
      <x:c r="Q919" s="41"/>
      <x:c r="R919" s="33"/>
      <x:c r="S919" s="33"/>
      <x:c r="T919" s="33"/>
      <x:c r="U919" s="33"/>
      <x:c r="Y919" s="37"/>
      <x:c r="Z919" s="37"/>
      <x:c r="AJ919" s="33"/>
    </x:row>
    <x:row r="920">
      <x:c r="P920" s="41"/>
      <x:c r="Q920" s="41"/>
      <x:c r="R920" s="33"/>
      <x:c r="S920" s="33"/>
      <x:c r="T920" s="33"/>
      <x:c r="U920" s="33"/>
      <x:c r="Y920" s="37"/>
      <x:c r="Z920" s="37"/>
      <x:c r="AJ920" s="33"/>
    </x:row>
    <x:row r="921">
      <x:c r="P921" s="41"/>
      <x:c r="Q921" s="41"/>
      <x:c r="R921" s="33"/>
      <x:c r="S921" s="33"/>
      <x:c r="T921" s="33"/>
      <x:c r="U921" s="33"/>
      <x:c r="Y921" s="37"/>
      <x:c r="Z921" s="37"/>
      <x:c r="AJ921" s="33"/>
    </x:row>
    <x:row r="922">
      <x:c r="P922" s="41"/>
      <x:c r="Q922" s="41"/>
      <x:c r="R922" s="33"/>
      <x:c r="S922" s="33"/>
      <x:c r="T922" s="33"/>
      <x:c r="U922" s="33"/>
      <x:c r="Y922" s="37"/>
      <x:c r="Z922" s="37"/>
      <x:c r="AJ922" s="33"/>
    </x:row>
    <x:row r="923">
      <x:c r="P923" s="41"/>
      <x:c r="Q923" s="41"/>
      <x:c r="R923" s="33"/>
      <x:c r="S923" s="33"/>
      <x:c r="T923" s="33"/>
      <x:c r="U923" s="33"/>
      <x:c r="Y923" s="37"/>
      <x:c r="Z923" s="37"/>
      <x:c r="AJ923" s="33"/>
    </x:row>
    <x:row r="924">
      <x:c r="P924" s="41"/>
      <x:c r="Q924" s="41"/>
      <x:c r="R924" s="33"/>
      <x:c r="S924" s="33"/>
      <x:c r="T924" s="33"/>
      <x:c r="U924" s="33"/>
      <x:c r="Y924" s="37"/>
      <x:c r="Z924" s="37"/>
      <x:c r="AJ924" s="33"/>
    </x:row>
    <x:row r="925">
      <x:c r="P925" s="41"/>
      <x:c r="Q925" s="41"/>
      <x:c r="R925" s="33"/>
      <x:c r="S925" s="33"/>
      <x:c r="T925" s="33"/>
      <x:c r="U925" s="33"/>
      <x:c r="Y925" s="37"/>
      <x:c r="Z925" s="37"/>
      <x:c r="AJ925" s="33"/>
    </x:row>
    <x:row r="926">
      <x:c r="P926" s="41"/>
      <x:c r="Q926" s="41"/>
      <x:c r="R926" s="33"/>
      <x:c r="S926" s="33"/>
      <x:c r="T926" s="33"/>
      <x:c r="U926" s="33"/>
      <x:c r="Y926" s="37"/>
      <x:c r="Z926" s="37"/>
      <x:c r="AJ926" s="33"/>
    </x:row>
    <x:row r="927">
      <x:c r="P927" s="41"/>
      <x:c r="Q927" s="41"/>
      <x:c r="R927" s="33"/>
      <x:c r="S927" s="33"/>
      <x:c r="T927" s="33"/>
      <x:c r="U927" s="33"/>
      <x:c r="Y927" s="37"/>
      <x:c r="Z927" s="37"/>
      <x:c r="AJ927" s="33"/>
    </x:row>
    <x:row r="928">
      <x:c r="P928" s="41"/>
      <x:c r="Q928" s="41"/>
      <x:c r="R928" s="33"/>
      <x:c r="S928" s="33"/>
      <x:c r="T928" s="33"/>
      <x:c r="U928" s="33"/>
      <x:c r="Y928" s="37"/>
      <x:c r="Z928" s="37"/>
      <x:c r="AJ928" s="33"/>
    </x:row>
    <x:row r="929">
      <x:c r="P929" s="41"/>
      <x:c r="Q929" s="41"/>
      <x:c r="R929" s="33"/>
      <x:c r="S929" s="33"/>
      <x:c r="T929" s="33"/>
      <x:c r="U929" s="33"/>
      <x:c r="Y929" s="37"/>
      <x:c r="Z929" s="37"/>
      <x:c r="AJ929" s="33"/>
    </x:row>
    <x:row r="930">
      <x:c r="P930" s="41"/>
      <x:c r="Q930" s="41"/>
      <x:c r="R930" s="33"/>
      <x:c r="S930" s="33"/>
      <x:c r="T930" s="33"/>
      <x:c r="U930" s="33"/>
      <x:c r="Y930" s="37"/>
      <x:c r="Z930" s="37"/>
      <x:c r="AJ930" s="33"/>
    </x:row>
    <x:row r="931">
      <x:c r="P931" s="41"/>
      <x:c r="Q931" s="41"/>
      <x:c r="R931" s="33"/>
      <x:c r="S931" s="33"/>
      <x:c r="T931" s="33"/>
      <x:c r="U931" s="33"/>
      <x:c r="Y931" s="37"/>
      <x:c r="Z931" s="37"/>
      <x:c r="AJ931" s="33"/>
    </x:row>
    <x:row r="932">
      <x:c r="P932" s="41"/>
      <x:c r="Q932" s="41"/>
      <x:c r="R932" s="33"/>
      <x:c r="S932" s="33"/>
      <x:c r="T932" s="33"/>
      <x:c r="U932" s="33"/>
      <x:c r="Y932" s="37"/>
      <x:c r="Z932" s="37"/>
      <x:c r="AJ932" s="33"/>
    </x:row>
    <x:row r="933">
      <x:c r="P933" s="41"/>
      <x:c r="Q933" s="41"/>
      <x:c r="R933" s="33"/>
      <x:c r="S933" s="33"/>
      <x:c r="T933" s="33"/>
      <x:c r="U933" s="33"/>
      <x:c r="Y933" s="37"/>
      <x:c r="Z933" s="37"/>
      <x:c r="AJ933" s="33"/>
    </x:row>
    <x:row r="934">
      <x:c r="P934" s="41"/>
      <x:c r="Q934" s="41"/>
      <x:c r="R934" s="33"/>
      <x:c r="S934" s="33"/>
      <x:c r="T934" s="33"/>
      <x:c r="U934" s="33"/>
      <x:c r="Y934" s="37"/>
      <x:c r="Z934" s="37"/>
      <x:c r="AJ934" s="33"/>
    </x:row>
    <x:row r="935">
      <x:c r="P935" s="41"/>
      <x:c r="Q935" s="41"/>
      <x:c r="R935" s="33"/>
      <x:c r="S935" s="33"/>
      <x:c r="T935" s="33"/>
      <x:c r="U935" s="33"/>
      <x:c r="Y935" s="37"/>
      <x:c r="Z935" s="37"/>
      <x:c r="AJ935" s="33"/>
    </x:row>
    <x:row r="936">
      <x:c r="P936" s="41"/>
      <x:c r="Q936" s="41"/>
      <x:c r="R936" s="33"/>
      <x:c r="S936" s="33"/>
      <x:c r="T936" s="33"/>
      <x:c r="U936" s="33"/>
      <x:c r="Y936" s="37"/>
      <x:c r="Z936" s="37"/>
      <x:c r="AJ936" s="33"/>
    </x:row>
    <x:row r="937">
      <x:c r="P937" s="41"/>
      <x:c r="Q937" s="41"/>
      <x:c r="R937" s="33"/>
      <x:c r="S937" s="33"/>
      <x:c r="T937" s="33"/>
      <x:c r="U937" s="33"/>
      <x:c r="Y937" s="37"/>
      <x:c r="Z937" s="37"/>
      <x:c r="AJ937" s="33"/>
    </x:row>
    <x:row r="938">
      <x:c r="P938" s="41"/>
      <x:c r="Q938" s="41"/>
      <x:c r="R938" s="33"/>
      <x:c r="S938" s="33"/>
      <x:c r="T938" s="33"/>
      <x:c r="U938" s="33"/>
      <x:c r="Y938" s="37"/>
      <x:c r="Z938" s="37"/>
      <x:c r="AJ938" s="33"/>
    </x:row>
    <x:row r="939">
      <x:c r="P939" s="41"/>
      <x:c r="Q939" s="41"/>
      <x:c r="R939" s="33"/>
      <x:c r="S939" s="33"/>
      <x:c r="T939" s="33"/>
      <x:c r="U939" s="33"/>
      <x:c r="Y939" s="37"/>
      <x:c r="Z939" s="37"/>
      <x:c r="AJ939" s="33"/>
    </x:row>
    <x:row r="940">
      <x:c r="P940" s="41"/>
      <x:c r="Q940" s="41"/>
      <x:c r="R940" s="33"/>
      <x:c r="S940" s="33"/>
      <x:c r="T940" s="33"/>
      <x:c r="U940" s="33"/>
      <x:c r="Y940" s="37"/>
      <x:c r="Z940" s="37"/>
      <x:c r="AJ940" s="33"/>
    </x:row>
    <x:row r="941">
      <x:c r="P941" s="41"/>
      <x:c r="Q941" s="41"/>
      <x:c r="R941" s="33"/>
      <x:c r="S941" s="33"/>
      <x:c r="T941" s="33"/>
      <x:c r="U941" s="33"/>
      <x:c r="Y941" s="37"/>
      <x:c r="Z941" s="37"/>
      <x:c r="AJ941" s="33"/>
    </x:row>
    <x:row r="942">
      <x:c r="P942" s="41"/>
      <x:c r="Q942" s="41"/>
      <x:c r="R942" s="33"/>
      <x:c r="S942" s="33"/>
      <x:c r="T942" s="33"/>
      <x:c r="U942" s="33"/>
      <x:c r="Y942" s="37"/>
      <x:c r="Z942" s="37"/>
      <x:c r="AJ942" s="33"/>
    </x:row>
    <x:row r="943">
      <x:c r="P943" s="41"/>
      <x:c r="Q943" s="41"/>
      <x:c r="R943" s="33"/>
      <x:c r="S943" s="33"/>
      <x:c r="T943" s="33"/>
      <x:c r="U943" s="33"/>
      <x:c r="Y943" s="37"/>
      <x:c r="Z943" s="37"/>
      <x:c r="AJ943" s="33"/>
    </x:row>
    <x:row r="944">
      <x:c r="P944" s="41"/>
      <x:c r="Q944" s="41"/>
      <x:c r="R944" s="33"/>
      <x:c r="S944" s="33"/>
      <x:c r="T944" s="33"/>
      <x:c r="U944" s="33"/>
      <x:c r="Y944" s="37"/>
      <x:c r="Z944" s="37"/>
      <x:c r="AJ944" s="33"/>
    </x:row>
    <x:row r="945">
      <x:c r="P945" s="41"/>
      <x:c r="Q945" s="41"/>
      <x:c r="R945" s="33"/>
      <x:c r="S945" s="33"/>
      <x:c r="T945" s="33"/>
      <x:c r="U945" s="33"/>
      <x:c r="Y945" s="37"/>
      <x:c r="Z945" s="37"/>
      <x:c r="AJ945" s="33"/>
    </x:row>
    <x:row r="946">
      <x:c r="P946" s="41"/>
      <x:c r="Q946" s="41"/>
      <x:c r="R946" s="33"/>
      <x:c r="S946" s="33"/>
      <x:c r="T946" s="33"/>
      <x:c r="U946" s="33"/>
      <x:c r="Y946" s="37"/>
      <x:c r="Z946" s="37"/>
      <x:c r="AJ946" s="33"/>
    </x:row>
    <x:row r="947">
      <x:c r="P947" s="41"/>
      <x:c r="Q947" s="41"/>
      <x:c r="R947" s="33"/>
      <x:c r="S947" s="33"/>
      <x:c r="T947" s="33"/>
      <x:c r="U947" s="33"/>
      <x:c r="Y947" s="37"/>
      <x:c r="Z947" s="37"/>
      <x:c r="AJ947" s="33"/>
    </x:row>
    <x:row r="948">
      <x:c r="P948" s="41"/>
      <x:c r="Q948" s="41"/>
      <x:c r="R948" s="33"/>
      <x:c r="S948" s="33"/>
      <x:c r="T948" s="33"/>
      <x:c r="U948" s="33"/>
      <x:c r="Y948" s="37"/>
      <x:c r="Z948" s="37"/>
      <x:c r="AJ948" s="33"/>
    </x:row>
    <x:row r="949">
      <x:c r="P949" s="41"/>
      <x:c r="Q949" s="41"/>
      <x:c r="R949" s="33"/>
      <x:c r="S949" s="33"/>
      <x:c r="T949" s="33"/>
      <x:c r="U949" s="33"/>
      <x:c r="Y949" s="37"/>
      <x:c r="Z949" s="37"/>
      <x:c r="AJ949" s="33"/>
    </x:row>
    <x:row r="950">
      <x:c r="P950" s="41"/>
      <x:c r="Q950" s="41"/>
      <x:c r="R950" s="33"/>
      <x:c r="S950" s="33"/>
      <x:c r="T950" s="33"/>
      <x:c r="U950" s="33"/>
      <x:c r="Y950" s="37"/>
      <x:c r="Z950" s="37"/>
      <x:c r="AJ950" s="33"/>
    </x:row>
    <x:row r="951">
      <x:c r="P951" s="41"/>
      <x:c r="Q951" s="41"/>
      <x:c r="R951" s="33"/>
      <x:c r="S951" s="33"/>
      <x:c r="T951" s="33"/>
      <x:c r="U951" s="33"/>
      <x:c r="Y951" s="37"/>
      <x:c r="Z951" s="37"/>
      <x:c r="AJ951" s="33"/>
    </x:row>
    <x:row r="952">
      <x:c r="P952" s="41"/>
      <x:c r="Q952" s="41"/>
      <x:c r="R952" s="33"/>
      <x:c r="S952" s="33"/>
      <x:c r="T952" s="33"/>
      <x:c r="U952" s="33"/>
      <x:c r="Y952" s="37"/>
      <x:c r="Z952" s="37"/>
      <x:c r="AJ952" s="33"/>
    </x:row>
    <x:row r="953">
      <x:c r="P953" s="41"/>
      <x:c r="Q953" s="41"/>
      <x:c r="R953" s="33"/>
      <x:c r="S953" s="33"/>
      <x:c r="T953" s="33"/>
      <x:c r="U953" s="33"/>
      <x:c r="Y953" s="37"/>
      <x:c r="Z953" s="37"/>
      <x:c r="AJ953" s="33"/>
    </x:row>
    <x:row r="954">
      <x:c r="P954" s="41"/>
      <x:c r="Q954" s="41"/>
      <x:c r="R954" s="33"/>
      <x:c r="S954" s="33"/>
      <x:c r="T954" s="33"/>
      <x:c r="U954" s="33"/>
      <x:c r="Y954" s="37"/>
      <x:c r="Z954" s="37"/>
      <x:c r="AJ954" s="33"/>
    </x:row>
    <x:row r="955">
      <x:c r="P955" s="41"/>
      <x:c r="Q955" s="41"/>
      <x:c r="R955" s="33"/>
      <x:c r="S955" s="33"/>
      <x:c r="T955" s="33"/>
      <x:c r="U955" s="33"/>
      <x:c r="Y955" s="37"/>
      <x:c r="Z955" s="37"/>
      <x:c r="AJ955" s="33"/>
    </x:row>
    <x:row r="956">
      <x:c r="P956" s="41"/>
      <x:c r="Q956" s="41"/>
      <x:c r="R956" s="33"/>
      <x:c r="S956" s="33"/>
      <x:c r="T956" s="33"/>
      <x:c r="U956" s="33"/>
      <x:c r="Y956" s="37"/>
      <x:c r="Z956" s="37"/>
      <x:c r="AJ956" s="33"/>
    </x:row>
    <x:row r="957">
      <x:c r="P957" s="41"/>
      <x:c r="Q957" s="41"/>
      <x:c r="R957" s="33"/>
      <x:c r="S957" s="33"/>
      <x:c r="T957" s="33"/>
      <x:c r="U957" s="33"/>
      <x:c r="Y957" s="37"/>
      <x:c r="Z957" s="37"/>
      <x:c r="AJ957" s="33"/>
    </x:row>
    <x:row r="958">
      <x:c r="P958" s="41"/>
      <x:c r="Q958" s="41"/>
      <x:c r="R958" s="33"/>
      <x:c r="S958" s="33"/>
      <x:c r="T958" s="33"/>
      <x:c r="U958" s="33"/>
      <x:c r="Y958" s="37"/>
      <x:c r="Z958" s="37"/>
      <x:c r="AJ958" s="33"/>
    </x:row>
    <x:row r="959">
      <x:c r="P959" s="41"/>
      <x:c r="Q959" s="41"/>
      <x:c r="R959" s="33"/>
      <x:c r="S959" s="33"/>
      <x:c r="T959" s="33"/>
      <x:c r="U959" s="33"/>
      <x:c r="Y959" s="37"/>
      <x:c r="Z959" s="37"/>
      <x:c r="AJ959" s="33"/>
    </x:row>
    <x:row r="960">
      <x:c r="P960" s="41"/>
      <x:c r="Q960" s="41"/>
      <x:c r="R960" s="33"/>
      <x:c r="S960" s="33"/>
      <x:c r="T960" s="33"/>
      <x:c r="U960" s="33"/>
      <x:c r="Y960" s="37"/>
      <x:c r="Z960" s="37"/>
      <x:c r="AJ960" s="33"/>
    </x:row>
    <x:row r="961">
      <x:c r="P961" s="41"/>
      <x:c r="Q961" s="41"/>
      <x:c r="R961" s="33"/>
      <x:c r="S961" s="33"/>
      <x:c r="T961" s="33"/>
      <x:c r="U961" s="33"/>
      <x:c r="Y961" s="37"/>
      <x:c r="Z961" s="37"/>
      <x:c r="AJ961" s="33"/>
    </x:row>
    <x:row r="962">
      <x:c r="P962" s="41"/>
      <x:c r="Q962" s="41"/>
      <x:c r="R962" s="33"/>
      <x:c r="S962" s="33"/>
      <x:c r="T962" s="33"/>
      <x:c r="U962" s="33"/>
      <x:c r="Y962" s="37"/>
      <x:c r="Z962" s="37"/>
      <x:c r="AJ962" s="33"/>
    </x:row>
    <x:row r="963">
      <x:c r="P963" s="41"/>
      <x:c r="Q963" s="41"/>
      <x:c r="R963" s="33"/>
      <x:c r="S963" s="33"/>
      <x:c r="T963" s="33"/>
      <x:c r="U963" s="33"/>
      <x:c r="Y963" s="37"/>
      <x:c r="Z963" s="37"/>
      <x:c r="AJ963" s="33"/>
    </x:row>
    <x:row r="964">
      <x:c r="P964" s="41"/>
      <x:c r="Q964" s="41"/>
      <x:c r="R964" s="33"/>
      <x:c r="S964" s="33"/>
      <x:c r="T964" s="33"/>
      <x:c r="U964" s="33"/>
      <x:c r="Y964" s="37"/>
      <x:c r="Z964" s="37"/>
      <x:c r="AJ964" s="33"/>
    </x:row>
    <x:row r="965">
      <x:c r="P965" s="41"/>
      <x:c r="Q965" s="41"/>
      <x:c r="R965" s="33"/>
      <x:c r="S965" s="33"/>
      <x:c r="T965" s="33"/>
      <x:c r="U965" s="33"/>
      <x:c r="Y965" s="37"/>
      <x:c r="Z965" s="37"/>
      <x:c r="AJ965" s="33"/>
    </x:row>
    <x:row r="966">
      <x:c r="P966" s="41"/>
      <x:c r="Q966" s="41"/>
      <x:c r="R966" s="33"/>
      <x:c r="S966" s="33"/>
      <x:c r="T966" s="33"/>
      <x:c r="U966" s="33"/>
      <x:c r="Y966" s="37"/>
      <x:c r="Z966" s="37"/>
      <x:c r="AJ966" s="33"/>
    </x:row>
    <x:row r="967">
      <x:c r="P967" s="41"/>
      <x:c r="Q967" s="41"/>
      <x:c r="R967" s="33"/>
      <x:c r="S967" s="33"/>
      <x:c r="T967" s="33"/>
      <x:c r="U967" s="33"/>
      <x:c r="Y967" s="37"/>
      <x:c r="Z967" s="37"/>
      <x:c r="AJ967" s="33"/>
    </x:row>
    <x:row r="968">
      <x:c r="P968" s="41"/>
      <x:c r="Q968" s="41"/>
      <x:c r="R968" s="33"/>
      <x:c r="S968" s="33"/>
      <x:c r="T968" s="33"/>
      <x:c r="U968" s="33"/>
      <x:c r="Y968" s="37"/>
      <x:c r="Z968" s="37"/>
      <x:c r="AJ968" s="33"/>
    </x:row>
    <x:row r="969">
      <x:c r="P969" s="41"/>
      <x:c r="Q969" s="41"/>
      <x:c r="R969" s="33"/>
      <x:c r="S969" s="33"/>
      <x:c r="T969" s="33"/>
      <x:c r="U969" s="33"/>
      <x:c r="Y969" s="37"/>
      <x:c r="Z969" s="37"/>
      <x:c r="AJ969" s="33"/>
    </x:row>
    <x:row r="970">
      <x:c r="P970" s="41"/>
      <x:c r="Q970" s="41"/>
      <x:c r="R970" s="33"/>
      <x:c r="S970" s="33"/>
      <x:c r="T970" s="33"/>
      <x:c r="U970" s="33"/>
      <x:c r="Y970" s="37"/>
      <x:c r="Z970" s="37"/>
      <x:c r="AJ970" s="33"/>
    </x:row>
    <x:row r="971">
      <x:c r="P971" s="41"/>
      <x:c r="Q971" s="41"/>
      <x:c r="R971" s="33"/>
      <x:c r="S971" s="33"/>
      <x:c r="T971" s="33"/>
      <x:c r="U971" s="33"/>
      <x:c r="Y971" s="37"/>
      <x:c r="Z971" s="37"/>
      <x:c r="AJ971" s="33"/>
    </x:row>
    <x:row r="972">
      <x:c r="P972" s="41"/>
      <x:c r="Q972" s="41"/>
      <x:c r="R972" s="33"/>
      <x:c r="S972" s="33"/>
      <x:c r="T972" s="33"/>
      <x:c r="U972" s="33"/>
      <x:c r="Y972" s="37"/>
      <x:c r="Z972" s="37"/>
      <x:c r="AJ972" s="33"/>
    </x:row>
    <x:row r="973">
      <x:c r="P973" s="41"/>
      <x:c r="Q973" s="41"/>
      <x:c r="R973" s="33"/>
      <x:c r="S973" s="33"/>
      <x:c r="T973" s="33"/>
      <x:c r="U973" s="33"/>
      <x:c r="Y973" s="37"/>
      <x:c r="Z973" s="37"/>
      <x:c r="AJ973" s="33"/>
    </x:row>
    <x:row r="974">
      <x:c r="P974" s="41"/>
      <x:c r="Q974" s="41"/>
      <x:c r="R974" s="33"/>
      <x:c r="S974" s="33"/>
      <x:c r="T974" s="33"/>
      <x:c r="U974" s="33"/>
      <x:c r="Y974" s="37"/>
      <x:c r="Z974" s="37"/>
      <x:c r="AJ974" s="33"/>
    </x:row>
    <x:row r="975">
      <x:c r="P975" s="41"/>
      <x:c r="Q975" s="41"/>
      <x:c r="R975" s="33"/>
      <x:c r="S975" s="33"/>
      <x:c r="T975" s="33"/>
      <x:c r="U975" s="33"/>
      <x:c r="Y975" s="37"/>
      <x:c r="Z975" s="37"/>
      <x:c r="AJ975" s="33"/>
    </x:row>
    <x:row r="976">
      <x:c r="P976" s="41"/>
      <x:c r="Q976" s="41"/>
      <x:c r="R976" s="33"/>
      <x:c r="S976" s="33"/>
      <x:c r="T976" s="33"/>
      <x:c r="U976" s="33"/>
      <x:c r="Y976" s="37"/>
      <x:c r="Z976" s="37"/>
      <x:c r="AJ976" s="33"/>
    </x:row>
    <x:row r="977">
      <x:c r="P977" s="41"/>
      <x:c r="Q977" s="41"/>
      <x:c r="R977" s="33"/>
      <x:c r="S977" s="33"/>
      <x:c r="T977" s="33"/>
      <x:c r="U977" s="33"/>
      <x:c r="Y977" s="37"/>
      <x:c r="Z977" s="37"/>
      <x:c r="AJ977" s="33"/>
    </x:row>
    <x:row r="978">
      <x:c r="P978" s="41"/>
      <x:c r="Q978" s="41"/>
      <x:c r="R978" s="33"/>
      <x:c r="S978" s="33"/>
      <x:c r="T978" s="33"/>
      <x:c r="U978" s="33"/>
      <x:c r="Y978" s="37"/>
      <x:c r="Z978" s="37"/>
      <x:c r="AJ978" s="33"/>
    </x:row>
    <x:row r="979">
      <x:c r="P979" s="41"/>
      <x:c r="Q979" s="41"/>
      <x:c r="R979" s="33"/>
      <x:c r="S979" s="33"/>
      <x:c r="T979" s="33"/>
      <x:c r="U979" s="33"/>
      <x:c r="Y979" s="37"/>
      <x:c r="Z979" s="37"/>
      <x:c r="AJ979" s="33"/>
    </x:row>
    <x:row r="980">
      <x:c r="P980" s="41"/>
      <x:c r="Q980" s="41"/>
      <x:c r="R980" s="33"/>
      <x:c r="S980" s="33"/>
      <x:c r="T980" s="33"/>
      <x:c r="U980" s="33"/>
      <x:c r="Y980" s="37"/>
      <x:c r="Z980" s="37"/>
      <x:c r="AJ980" s="33"/>
    </x:row>
    <x:row r="981">
      <x:c r="P981" s="41"/>
      <x:c r="Q981" s="41"/>
      <x:c r="R981" s="33"/>
      <x:c r="S981" s="33"/>
      <x:c r="T981" s="33"/>
      <x:c r="U981" s="33"/>
      <x:c r="Y981" s="37"/>
      <x:c r="Z981" s="37"/>
      <x:c r="AJ981" s="33"/>
    </x:row>
    <x:row r="982">
      <x:c r="P982" s="41"/>
      <x:c r="Q982" s="41"/>
      <x:c r="R982" s="33"/>
      <x:c r="S982" s="33"/>
      <x:c r="T982" s="33"/>
      <x:c r="U982" s="33"/>
      <x:c r="Y982" s="37"/>
      <x:c r="Z982" s="37"/>
      <x:c r="AJ982" s="33"/>
    </x:row>
    <x:row r="983">
      <x:c r="P983" s="41"/>
      <x:c r="Q983" s="41"/>
      <x:c r="R983" s="33"/>
      <x:c r="S983" s="33"/>
      <x:c r="T983" s="33"/>
      <x:c r="U983" s="33"/>
      <x:c r="Y983" s="37"/>
      <x:c r="Z983" s="37"/>
      <x:c r="AJ983" s="33"/>
    </x:row>
    <x:row r="984">
      <x:c r="P984" s="41"/>
      <x:c r="Q984" s="41"/>
      <x:c r="R984" s="33"/>
      <x:c r="S984" s="33"/>
      <x:c r="T984" s="33"/>
      <x:c r="U984" s="33"/>
      <x:c r="Y984" s="37"/>
      <x:c r="Z984" s="37"/>
      <x:c r="AJ984" s="33"/>
    </x:row>
    <x:row r="985">
      <x:c r="P985" s="41"/>
      <x:c r="Q985" s="41"/>
      <x:c r="R985" s="33"/>
      <x:c r="S985" s="33"/>
      <x:c r="T985" s="33"/>
      <x:c r="U985" s="33"/>
      <x:c r="Y985" s="37"/>
      <x:c r="Z985" s="37"/>
      <x:c r="AJ985" s="33"/>
    </x:row>
    <x:row r="986">
      <x:c r="P986" s="41"/>
      <x:c r="Q986" s="41"/>
      <x:c r="R986" s="33"/>
      <x:c r="S986" s="33"/>
      <x:c r="T986" s="33"/>
      <x:c r="U986" s="33"/>
      <x:c r="Y986" s="37"/>
      <x:c r="Z986" s="37"/>
      <x:c r="AJ986" s="33"/>
    </x:row>
    <x:row r="987">
      <x:c r="P987" s="41"/>
      <x:c r="Q987" s="41"/>
      <x:c r="R987" s="33"/>
      <x:c r="S987" s="33"/>
      <x:c r="T987" s="33"/>
      <x:c r="U987" s="33"/>
      <x:c r="Y987" s="37"/>
      <x:c r="Z987" s="37"/>
      <x:c r="AJ987" s="33"/>
    </x:row>
    <x:row r="988">
      <x:c r="P988" s="41"/>
      <x:c r="Q988" s="41"/>
      <x:c r="R988" s="33"/>
      <x:c r="S988" s="33"/>
      <x:c r="T988" s="33"/>
      <x:c r="U988" s="33"/>
      <x:c r="Y988" s="37"/>
      <x:c r="Z988" s="37"/>
      <x:c r="AJ988" s="33"/>
    </x:row>
    <x:row r="989">
      <x:c r="P989" s="41"/>
      <x:c r="Q989" s="41"/>
      <x:c r="R989" s="33"/>
      <x:c r="S989" s="33"/>
      <x:c r="T989" s="33"/>
      <x:c r="U989" s="33"/>
      <x:c r="Y989" s="37"/>
      <x:c r="Z989" s="37"/>
      <x:c r="AJ989" s="33"/>
    </x:row>
    <x:row r="990">
      <x:c r="P990" s="41"/>
      <x:c r="Q990" s="41"/>
      <x:c r="R990" s="33"/>
      <x:c r="S990" s="33"/>
      <x:c r="T990" s="33"/>
      <x:c r="U990" s="33"/>
      <x:c r="Y990" s="37"/>
      <x:c r="Z990" s="37"/>
      <x:c r="AJ990" s="33"/>
    </x:row>
    <x:row r="991">
      <x:c r="P991" s="41"/>
      <x:c r="Q991" s="41"/>
      <x:c r="R991" s="33"/>
      <x:c r="S991" s="33"/>
      <x:c r="T991" s="33"/>
      <x:c r="U991" s="33"/>
      <x:c r="Y991" s="37"/>
      <x:c r="Z991" s="37"/>
      <x:c r="AJ991" s="33"/>
    </x:row>
    <x:row r="992">
      <x:c r="P992" s="41"/>
      <x:c r="Q992" s="41"/>
      <x:c r="R992" s="33"/>
      <x:c r="S992" s="33"/>
      <x:c r="T992" s="33"/>
      <x:c r="U992" s="33"/>
      <x:c r="Y992" s="37"/>
      <x:c r="Z992" s="37"/>
      <x:c r="AJ992" s="33"/>
    </x:row>
    <x:row r="993">
      <x:c r="P993" s="41"/>
      <x:c r="Q993" s="41"/>
      <x:c r="R993" s="33"/>
      <x:c r="S993" s="33"/>
      <x:c r="T993" s="33"/>
      <x:c r="U993" s="33"/>
      <x:c r="Y993" s="37"/>
      <x:c r="Z993" s="37"/>
      <x:c r="AJ993" s="33"/>
    </x:row>
    <x:row r="994">
      <x:c r="P994" s="41"/>
      <x:c r="Q994" s="41"/>
      <x:c r="R994" s="33"/>
      <x:c r="S994" s="33"/>
      <x:c r="T994" s="33"/>
      <x:c r="U994" s="33"/>
      <x:c r="Y994" s="37"/>
      <x:c r="Z994" s="37"/>
      <x:c r="AJ994" s="33"/>
    </x:row>
    <x:row r="995">
      <x:c r="P995" s="41"/>
      <x:c r="Q995" s="41"/>
      <x:c r="R995" s="33"/>
      <x:c r="S995" s="33"/>
      <x:c r="T995" s="33"/>
      <x:c r="U995" s="33"/>
      <x:c r="Y995" s="37"/>
      <x:c r="Z995" s="37"/>
      <x:c r="AJ995" s="33"/>
    </x:row>
    <x:row r="996">
      <x:c r="P996" s="41"/>
      <x:c r="Q996" s="41"/>
      <x:c r="R996" s="33"/>
      <x:c r="S996" s="33"/>
      <x:c r="T996" s="33"/>
      <x:c r="U996" s="33"/>
      <x:c r="Y996" s="37"/>
      <x:c r="Z996" s="37"/>
      <x:c r="AJ996" s="33"/>
    </x:row>
    <x:row r="997">
      <x:c r="P997" s="41"/>
      <x:c r="Q997" s="41"/>
      <x:c r="R997" s="33"/>
      <x:c r="S997" s="33"/>
      <x:c r="T997" s="33"/>
      <x:c r="U997" s="33"/>
      <x:c r="Y997" s="37"/>
      <x:c r="Z997" s="37"/>
      <x:c r="AJ997" s="33"/>
    </x:row>
    <x:row r="998">
      <x:c r="P998" s="41"/>
      <x:c r="Q998" s="41"/>
      <x:c r="R998" s="33"/>
      <x:c r="S998" s="33"/>
      <x:c r="T998" s="33"/>
      <x:c r="U998" s="33"/>
      <x:c r="Y998" s="37"/>
      <x:c r="Z998" s="37"/>
      <x:c r="AJ998" s="33"/>
    </x:row>
    <x:row r="999">
      <x:c r="P999" s="41"/>
      <x:c r="Q999" s="41"/>
      <x:c r="R999" s="33"/>
      <x:c r="S999" s="33"/>
      <x:c r="T999" s="33"/>
      <x:c r="U999" s="33"/>
      <x:c r="Y999" s="37"/>
      <x:c r="Z999" s="37"/>
      <x:c r="AJ999" s="33"/>
    </x:row>
    <x:row r="1000">
      <x:c r="P1000" s="41"/>
      <x:c r="Q1000" s="41"/>
      <x:c r="R1000" s="33"/>
      <x:c r="S1000" s="33"/>
      <x:c r="T1000" s="33"/>
      <x:c r="U1000" s="33"/>
      <x:c r="Y1000" s="37"/>
      <x:c r="Z1000" s="37"/>
      <x:c r="AJ1000" s="33"/>
    </x:row>
  </x:sheetData>
  <x:conditionalFormatting sqref="Y2:Y36">
    <x:cfRule type="dataBar" priority="1">
      <x:dataBar>
        <x:cfvo type="min"/>
        <x:cfvo type="max"/>
        <x:color rgb="FF1F6E78"/>
      </x:dataBar>
      <x:extLst>
        <x:ext xmlns:x14="http://schemas.microsoft.com/office/spreadsheetml/2009/9/main" uri="{B025F937-C7B1-47D3-B67F-A62EFF666E3E}">
          <x14:id>{65830ED2-5547-4383-19A6-0AD2DEAFC201}</x14:id>
        </x:ext>
      </x:extLst>
    </x:cfRule>
  </x:conditionalFormatting>
  <x:dataValidations count="5">
    <x:dataValidation type="list" sqref="F2:F1000">
      <x:formula1>Categories!$A$2:$A$13</x:formula1>
    </x:dataValidation>
    <x:dataValidation type="list" sqref="AA2:AA1000">
      <x:formula1>Categories!$B$2:$B$9</x:formula1>
    </x:dataValidation>
    <x:dataValidation type="list" sqref="AC2:AC1000">
      <x:formula1>Categories!$B$2:$B$9</x:formula1>
    </x:dataValidation>
    <x:dataValidation type="list" sqref="AE2:AE1000">
      <x:formula1>Categories!$B$2:$B$9</x:formula1>
    </x:dataValidation>
    <x:dataValidation type="list" sqref="AK2:AK1000">
      <x:formula1>Categories!$C$2:$C$5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50c948b9d6f406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5830ED2-5547-4383-19A6-0AD2DEAFC201}">
            <x14:dataBar gradient="1">
              <x14:cfvo type="min"/>
              <x14:cfvo type="max"/>
              <x14:fillColor rgb="FF1F6E78"/>
            </x14:dataBar>
          </x14:cfRule>
          <xm:sqref>Y2:Y36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62" hidden="0" customWidth="1"/>
    <x:col min="3" max="3" width="32" hidden="0" customWidth="1"/>
    <x:col min="4" max="4" width="46" hidden="0" customWidth="1"/>
    <x:col min="5" max="5" width="48" hidden="0" customWidth="1"/>
  </x:cols>
  <x:sheetData>
    <x:row r="1">
      <x:c r="A1" s="27" t="str">
        <x:v>Source / Network</x:v>
      </x:c>
      <x:c r="B1" s="27" t="str">
        <x:v>URL</x:v>
      </x:c>
      <x:c r="C1" s="27" t="str">
        <x:v>Scope</x:v>
      </x:c>
      <x:c r="D1" s="27" t="str">
        <x:v>Best use</x:v>
      </x:c>
      <x:c r="E1" s="27" t="str">
        <x:v>Limitations / Notes</x:v>
      </x:c>
    </x:row>
    <x:row r="2" ht="44" customHeight="1">
      <x:c r="A2" s="13" t="str">
        <x:v>NSF REU Search</x:v>
      </x:c>
      <x:c r="B2" s="13" t="str">
        <x:v>https://www.nsf.gov/funding/initiatives/reu/search</x:v>
      </x:c>
      <x:c r="C2" s="13" t="str">
        <x:v>NSF-funded REU Sites</x:v>
      </x:c>
      <x:c r="D2" s="13" t="str">
        <x:v>Primary backbone; filter by research area, location, keyword</x:v>
      </x:c>
      <x:c r="E2" s="13" t="str">
        <x:v>Does not cover non-NSF SURP/SURF/SURE programs.</x:v>
      </x:c>
    </x:row>
    <x:row r="3" ht="44" customHeight="1">
      <x:c r="A3" s="13" t="str">
        <x:v>NSF REU for Students</x:v>
      </x:c>
      <x:c r="B3" s="13" t="str">
        <x:v>https://www.nsf.gov/funding/initiatives/reu/students</x:v>
      </x:c>
      <x:c r="C3" s="13" t="str">
        <x:v>Official NSF student guidance</x:v>
      </x:c>
      <x:c r="D3" s="13" t="str">
        <x:v>Eligibility, timing, ETAP guidance</x:v>
      </x:c>
      <x:c r="E3" s="13" t="str">
        <x:v>NSF notes ETAP contains many, but not all, REUs.</x:v>
      </x:c>
    </x:row>
    <x:row r="4" ht="44" customHeight="1">
      <x:c r="A4" s="13" t="str">
        <x:v>NSF ETAP</x:v>
      </x:c>
      <x:c r="B4" s="13" t="str">
        <x:v>https://etap.nsf.gov/</x:v>
      </x:c>
      <x:c r="C4" s="13" t="str">
        <x:v>Common application platform for many NSF opportunities</x:v>
      </x:c>
      <x:c r="D4" s="13" t="str">
        <x:v>Find/apply to many REUs from one portal</x:v>
      </x:c>
      <x:c r="E4" s="13" t="str">
        <x:v>Not every REU or education/training opportunity is in ETAP.</x:v>
      </x:c>
    </x:row>
    <x:row r="5" ht="44" customHeight="1">
      <x:c r="A5" s="13" t="str">
        <x:v>PathwaysToScience</x:v>
      </x:c>
      <x:c r="B5" s="13" t="str">
        <x:v>https://www.pathwaystoscience.org/programs.aspx?descriptorhub=SummerResearch_%3E%3E%3E</x:v>
      </x:c>
      <x:c r="C5" s="13" t="str">
        <x:v>Large multi-program STEM database</x:v>
      </x:c>
      <x:c r="D5" s="13" t="str">
        <x:v>Broad discovery; advanced filters by discipline, state, citizenship, deadline, etc.</x:v>
      </x:c>
      <x:c r="E5" s="13" t="str">
        <x:v>Always verify final details on official host page.</x:v>
      </x:c>
    </x:row>
    <x:row r="6" ht="44" customHeight="1">
      <x:c r="A6" s="13" t="str">
        <x:v>Big Ten Academic Alliance SROP</x:v>
      </x:c>
      <x:c r="B6" s="13" t="str">
        <x:v>https://btaa.org/resources-for/students/srop/program-benefits</x:v>
      </x:c>
      <x:c r="C6" s="13" t="str">
        <x:v>Multi-campus SROP network</x:v>
      </x:c>
      <x:c r="D6" s="13" t="str">
        <x:v>Centrally normalized stipend/housing/meals/travel data</x:v>
      </x:c>
      <x:c r="E6" s="13" t="str">
        <x:v>Only participating Big Ten institutions.</x:v>
      </x:c>
    </x:row>
    <x:row r="7" ht="44" customHeight="1">
      <x:c r="A7" s="13" t="str">
        <x:v>Leadership Alliance SR-EIP</x:v>
      </x:c>
      <x:c r="B7" s="13" t="str">
        <x:v>https://theleadershipalliance.org/summer-research-early-identification-program</x:v>
      </x:c>
      <x:c r="C7" s="13" t="str">
        <x:v>Multi-institution research network</x:v>
      </x:c>
      <x:c r="D7" s="13" t="str">
        <x:v>Broad disciplinary and host discovery</x:v>
      </x:c>
      <x:c r="E7" s="13" t="str">
        <x:v>Host-level benefits and projects vary.</x:v>
      </x:c>
    </x:row>
    <x:row r="8" ht="44" customHeight="1">
      <x:c r="A8" s="13" t="str">
        <x:v>Amgen Scholars</x:v>
      </x:c>
      <x:c r="B8" s="13" t="str">
        <x:v>https://amgenscholars.com/</x:v>
      </x:c>
      <x:c r="C8" s="13" t="str">
        <x:v>International biomedical/science research network</x:v>
      </x:c>
      <x:c r="D8" s="13" t="str">
        <x:v>Find participating Amgen host sites</x:v>
      </x:c>
      <x:c r="E8" s="13" t="str">
        <x:v>Need host page for stipend/housing/travel details.</x:v>
      </x:c>
    </x:row>
    <x:row r="9" ht="44" customHeight="1">
      <x:c r="A9" s="13" t="str">
        <x:v>DOE SULI</x:v>
      </x:c>
      <x:c r="B9" s="13" t="str">
        <x:v>https://science.osti.gov/wdts/suli</x:v>
      </x:c>
      <x:c r="C9" s="13" t="str">
        <x:v>DOE national laboratories</x:v>
      </x:c>
      <x:c r="D9" s="13" t="str">
        <x:v>Federal lab research across many STEM fields</x:v>
      </x:c>
      <x:c r="E9" s="13" t="str">
        <x:v>Eligibility and lab-specific housing details vary.</x:v>
      </x:c>
    </x:row>
    <x:row r="10" ht="44" customHeight="1">
      <x:c r="A10" s="13" t="str">
        <x:v>NIH SIP</x:v>
      </x:c>
      <x:c r="B10" s="13" t="str">
        <x:v>https://www.training.nih.gov/research-training/pb/sip/</x:v>
      </x:c>
      <x:c r="C10" s="13" t="str">
        <x:v>NIH intramural biomedical research</x:v>
      </x:c>
      <x:c r="D10" s="13" t="str">
        <x:v>Large biomedical/neuroscience source</x:v>
      </x:c>
      <x:c r="E10" s="13" t="str">
        <x:v>Stipend amount depends on education level; housing not provided.</x:v>
      </x:c>
    </x:row>
    <x:row r="11" ht="44" customHeight="1">
      <x:c r="A11" s="13" t="str">
        <x:v>NASA OSTEM</x:v>
      </x:c>
      <x:c r="B11" s="13" t="str">
        <x:v>https://www.nasa.gov/learning-resources/internship-programs/</x:v>
      </x:c>
      <x:c r="C11" s="13" t="str">
        <x:v>NASA internships</x:v>
      </x:c>
      <x:c r="D11" s="13" t="str">
        <x:v>Project-based STEM and non-STEM opportunities</x:v>
      </x:c>
      <x:c r="E11" s="13" t="str">
        <x:v>Benefits can be project-specific.</x:v>
      </x:c>
    </x:row>
    <x:row r="12" ht="44" customHeight="1">
      <x:c r="A12" s="13" t="str">
        <x:v>ORISE Undergraduate Opportunities</x:v>
      </x:c>
      <x:c r="B12" s="13" t="str">
        <x:v>https://orise.orau.gov/internships-fellowships/undergraduates.html</x:v>
      </x:c>
      <x:c r="C12" s="13" t="str">
        <x:v>Federal labs/agencies and research institutions</x:v>
      </x:c>
      <x:c r="D12" s="13" t="str">
        <x:v>Another large discovery channel</x:v>
      </x:c>
      <x:c r="E12" s="13" t="str">
        <x:v>Programs have heterogeneous eligibility and benefit structures.</x:v>
      </x:c>
    </x:row>
  </x:sheetData>
  <x:pageMargins left="0.7" right="0.7" top="0.75" bottom="0.75" header="0.3" footer="0.3"/>
  <x:tableParts count="1">
    <x:tablePart xmlns:r="http://schemas.openxmlformats.org/officeDocument/2006/relationships" r:id="Ra4bc79b7877d4ce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3" max="3" width="20" hidden="0" customWidth="1"/>
    <x:col min="4" max="4" width="34" hidden="0" customWidth="1"/>
  </x:cols>
  <x:sheetData>
    <x:row r="1">
      <x:c r="A1" s="27" t="str">
        <x:v>Primary_Field allowed values</x:v>
      </x:c>
      <x:c r="B1" s="27" t="str">
        <x:v>Benefit-status values</x:v>
      </x:c>
      <x:c r="C1" s="27" t="str">
        <x:v>Confidence values</x:v>
      </x:c>
      <x:c r="D1" s="27" t="str">
        <x:v>Suggested Program_Type values</x:v>
      </x:c>
    </x:row>
    <x:row r="2">
      <x:c r="A2" s="13" t="str">
        <x:v>Biomedical &amp; Health</x:v>
      </x:c>
      <x:c r="B2" s="13" t="str">
        <x:v>Yes</x:v>
      </x:c>
      <x:c r="C2" s="13" t="str">
        <x:v>High</x:v>
      </x:c>
      <x:c r="D2" s="13" t="str">
        <x:v>NSF REU</x:v>
      </x:c>
    </x:row>
    <x:row r="3">
      <x:c r="A3" s="13" t="str">
        <x:v>Life Sciences</x:v>
      </x:c>
      <x:c r="B3" s="13" t="str">
        <x:v>No</x:v>
      </x:c>
      <x:c r="C3" s="13" t="str">
        <x:v>Medium-High</x:v>
      </x:c>
      <x:c r="D3" s="13" t="str">
        <x:v>SURP / SURF / SURE</x:v>
      </x:c>
    </x:row>
    <x:row r="4">
      <x:c r="A4" s="13" t="str">
        <x:v>Neuroscience &amp; Cognitive Science</x:v>
      </x:c>
      <x:c r="B4" s="13" t="str">
        <x:v>Partial</x:v>
      </x:c>
      <x:c r="C4" s="13" t="str">
        <x:v>Medium</x:v>
      </x:c>
      <x:c r="D4" s="13" t="str">
        <x:v>Federal laboratory internship</x:v>
      </x:c>
    </x:row>
    <x:row r="5">
      <x:c r="A5" s="13" t="str">
        <x:v>Computer Science / Data / AI</x:v>
      </x:c>
      <x:c r="B5" s="13" t="str">
        <x:v>Allowance</x:v>
      </x:c>
      <x:c r="C5" s="13" t="str">
        <x:v>Low</x:v>
      </x:c>
      <x:c r="D5" s="13" t="str">
        <x:v>Multi-institution summer research</x:v>
      </x:c>
    </x:row>
    <x:row r="6">
      <x:c r="A6" s="13" t="str">
        <x:v>Mathematics &amp; Statistics</x:v>
      </x:c>
      <x:c r="B6" s="13" t="str">
        <x:v>Assistance</x:v>
      </x:c>
      <x:c r="C6" s="13"/>
      <x:c r="D6" s="13" t="str">
        <x:v>International research internship</x:v>
      </x:c>
    </x:row>
    <x:row r="7">
      <x:c r="A7" s="13" t="str">
        <x:v>Physics &amp; Astronomy</x:v>
      </x:c>
      <x:c r="B7" s="13" t="str">
        <x:v>Local</x:v>
      </x:c>
      <x:c r="C7" s="13"/>
      <x:c r="D7" s="13" t="str">
        <x:v>Industry/applied research program</x:v>
      </x:c>
    </x:row>
    <x:row r="8">
      <x:c r="A8" s="13" t="str">
        <x:v>Chemistry &amp; Materials</x:v>
      </x:c>
      <x:c r="B8" s="13" t="str">
        <x:v>Varies</x:v>
      </x:c>
      <x:c r="C8" s="13"/>
      <x:c r="D8" s="13" t="str">
        <x:v>Early-undergraduate research program</x:v>
      </x:c>
    </x:row>
    <x:row r="9">
      <x:c r="A9" s="13" t="str">
        <x:v>Engineering</x:v>
      </x:c>
      <x:c r="B9" s="13" t="str">
        <x:v>Not specified</x:v>
      </x:c>
      <x:c r="C9" s="13"/>
      <x:c r="D9" s="13" t="str">
        <x:v>Other summer research</x:v>
      </x:c>
    </x:row>
    <x:row r="10">
      <x:c r="A10" s="13" t="str">
        <x:v>Earth / Environment / Ocean</x:v>
      </x:c>
      <x:c r="B10" s="13"/>
      <x:c r="C10" s="13"/>
      <x:c r="D10" s="13"/>
    </x:row>
    <x:row r="11">
      <x:c r="A11" s="13" t="str">
        <x:v>Social / Behavioral Sciences</x:v>
      </x:c>
      <x:c r="B11" s="13"/>
      <x:c r="C11" s="13"/>
      <x:c r="D11" s="13"/>
    </x:row>
    <x:row r="12">
      <x:c r="A12" s="13" t="str">
        <x:v>Interdisciplinary STEM</x:v>
      </x:c>
      <x:c r="B12" s="13"/>
      <x:c r="C12" s="13"/>
      <x:c r="D12" s="13"/>
    </x:row>
    <x:row r="13">
      <x:c r="A13" s="13" t="str">
        <x:v>Multidisciplinary</x:v>
      </x:c>
      <x:c r="B13" s="13"/>
      <x:c r="C13" s="13"/>
      <x:c r="D13" s="1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46" hidden="0" customWidth="1"/>
    <x:col min="4" max="4" width="34" hidden="0" customWidth="1"/>
    <x:col min="5" max="5" width="12" hidden="0" customWidth="1"/>
  </x:cols>
  <x:sheetData>
    <x:row r="1">
      <x:c r="A1" s="4" t="str">
        <x:v>Summer Research Opportunity Catalog — Snapshot Dashboard</x:v>
      </x:c>
      <x:c r="B1" s="4"/>
      <x:c r="C1" s="4"/>
      <x:c r="D1" s="4"/>
      <x:c r="E1" s="4"/>
      <x:c r="F1" s="4"/>
      <x:c r="G1" s="4"/>
      <x:c r="H1" s="4"/>
    </x:row>
    <x:row r="2">
      <x:c r="A2" s="20" t="str">
        <x:v>Starter catalog verified 2026-08-31 • use Programs sheet filters for detailed matching</x:v>
      </x:c>
      <x:c r="B2" s="20"/>
      <x:c r="C2" s="20"/>
      <x:c r="D2" s="20"/>
      <x:c r="E2" s="20"/>
      <x:c r="F2" s="20"/>
      <x:c r="G2" s="20"/>
      <x:c r="H2" s="20"/>
    </x:row>
    <x:row r="4">
      <x:c r="A4" s="27" t="str">
        <x:v>Metric</x:v>
      </x:c>
      <x:c r="B4" s="27" t="str">
        <x:v>Value</x:v>
      </x:c>
      <x:c r="D4" s="27" t="str">
        <x:v>Primary field</x:v>
      </x:c>
      <x:c r="E4" s="27" t="str">
        <x:v>Records</x:v>
      </x:c>
    </x:row>
    <x:row r="5">
      <x:c r="A5" s="9" t="str">
        <x:v>Program records</x:v>
      </x:c>
      <x:c r="B5" t="n">
        <x:f>COUNTA(Programs!A2:A1000)</x:f>
        <x:v>35</x:v>
      </x:c>
      <x:c r="D5" s="9" t="str">
        <x:v>Biomedical &amp; Health</x:v>
      </x:c>
      <x:c r="E5" t="n">
        <x:f>COUNTIF(Programs!F2:F1000,D5)</x:f>
        <x:v>8</x:v>
      </x:c>
    </x:row>
    <x:row r="6">
      <x:c r="A6" s="9" t="str">
        <x:v>2027-cycle / upcoming records</x:v>
      </x:c>
      <x:c r="B6" t="n">
        <x:f>COUNTIF(Programs!W2:W1000,2027)</x:f>
        <x:v>6</x:v>
      </x:c>
      <x:c r="D6" s="9" t="str">
        <x:v>Life Sciences</x:v>
      </x:c>
      <x:c r="E6" t="n">
        <x:f>COUNTIF(Programs!F2:F1000,D6)</x:f>
        <x:v>2</x:v>
      </x:c>
    </x:row>
    <x:row r="7">
      <x:c r="A7" s="9" t="str">
        <x:v>External-applicant records</x:v>
      </x:c>
      <x:c r="B7" t="n">
        <x:f>COUNTIF(Programs!M2:M1000,"Yes")</x:f>
        <x:v>35</x:v>
      </x:c>
      <x:c r="D7" s="9" t="str">
        <x:v>Neuroscience &amp; Cognitive Science</x:v>
      </x:c>
      <x:c r="E7" t="n">
        <x:f>COUNTIF(Programs!F2:F1000,D7)</x:f>
        <x:v>0</x:v>
      </x:c>
    </x:row>
    <x:row r="8">
      <x:c r="A8" s="9" t="str">
        <x:v>Records with numeric stipend</x:v>
      </x:c>
      <x:c r="B8" t="n">
        <x:f>COUNT(Programs!Y2:Y1000)</x:f>
        <x:v>26</x:v>
      </x:c>
      <x:c r="D8" s="9" t="str">
        <x:v>Computer Science / Data / AI</x:v>
      </x:c>
      <x:c r="E8" t="n">
        <x:f>COUNTIF(Programs!F2:F1000,D8)</x:f>
        <x:v>1</x:v>
      </x:c>
    </x:row>
    <x:row r="9">
      <x:c r="A9" s="9" t="str">
        <x:v>Housing support: Yes/Partial/Allowance/Assistance</x:v>
      </x:c>
      <x:c r="B9" t="n">
        <x:f>COUNTIF(Programs!AA2:AA1000,"Yes")+COUNTIF(Programs!AA2:AA1000,"Partial")+COUNTIF(Programs!AA2:AA1000,"Allowance")+COUNTIF(Programs!AA2:AA1000,"Assistance")</x:f>
        <x:v>26</x:v>
      </x:c>
      <x:c r="D9" s="9" t="str">
        <x:v>Mathematics &amp; Statistics</x:v>
      </x:c>
      <x:c r="E9" t="n">
        <x:f>COUNTIF(Programs!F2:F1000,D9)</x:f>
        <x:v>2</x:v>
      </x:c>
    </x:row>
    <x:row r="10">
      <x:c r="A10" s="9" t="str">
        <x:v>Travel support: Yes/Partial/Local/Varies</x:v>
      </x:c>
      <x:c r="B10" t="n">
        <x:f>COUNTIF(Programs!AE2:AE1000,"Yes")+COUNTIF(Programs!AE2:AE1000,"Partial")+COUNTIF(Programs!AE2:AE1000,"Local")+COUNTIF(Programs!AE2:AE1000,"Varies")</x:f>
        <x:v>33</x:v>
      </x:c>
      <x:c r="D10" s="9" t="str">
        <x:v>Physics &amp; Astronomy</x:v>
      </x:c>
      <x:c r="E10" t="n">
        <x:f>COUNTIF(Programs!F2:F1000,D10)</x:f>
        <x:v>1</x:v>
      </x:c>
    </x:row>
    <x:row r="11">
      <x:c r="D11" s="9" t="str">
        <x:v>Chemistry &amp; Materials</x:v>
      </x:c>
      <x:c r="E11" t="n">
        <x:f>COUNTIF(Programs!F2:F1000,D11)</x:f>
        <x:v>0</x:v>
      </x:c>
    </x:row>
    <x:row r="12">
      <x:c r="D12" s="9" t="str">
        <x:v>Engineering</x:v>
      </x:c>
      <x:c r="E12" t="n">
        <x:f>COUNTIF(Programs!F2:F1000,D12)</x:f>
        <x:v>2</x:v>
      </x:c>
    </x:row>
    <x:row r="13">
      <x:c r="A13" s="27" t="str">
        <x:v>How to compare programs</x:v>
      </x:c>
      <x:c r="B13" s="27" t="str"/>
      <x:c r="D13" s="9" t="str">
        <x:v>Earth / Environment / Ocean</x:v>
      </x:c>
      <x:c r="E13" t="n">
        <x:f>COUNTIF(Programs!F2:F1000,D13)</x:f>
        <x:v>1</x:v>
      </x:c>
    </x:row>
    <x:row r="14">
      <x:c r="A14" s="12" t="str">
        <x:v>1</x:v>
      </x:c>
      <x:c r="B14" s="13" t="str">
        <x:v>Filter Primary_Field and State first.</x:v>
      </x:c>
      <x:c r="D14" s="9" t="str">
        <x:v>Social / Behavioral Sciences</x:v>
      </x:c>
      <x:c r="E14" t="n">
        <x:f>COUNTIF(Programs!F2:F1000,D14)</x:f>
        <x:v>0</x:v>
      </x:c>
    </x:row>
    <x:row r="15">
      <x:c r="A15" s="12" t="str">
        <x:v>2</x:v>
      </x:c>
      <x:c r="B15" s="13" t="str">
        <x:v>Then filter eligibility (citizenship, class year, GPA, external applicants).</x:v>
      </x:c>
      <x:c r="D15" s="9" t="str">
        <x:v>Interdisciplinary STEM</x:v>
      </x:c>
      <x:c r="E15" t="n">
        <x:f>COUNTIF(Programs!F2:F1000,D15)</x:f>
        <x:v>5</x:v>
      </x:c>
    </x:row>
    <x:row r="16">
      <x:c r="A16" s="12" t="str">
        <x:v>3</x:v>
      </x:c>
      <x:c r="B16" s="13" t="str">
        <x:v>Compare stipend with housing, meals, and travel—do not compare stipend alone.</x:v>
      </x:c>
      <x:c r="D16" s="9" t="str">
        <x:v>Multidisciplinary</x:v>
      </x:c>
      <x:c r="E16" t="n">
        <x:f>COUNTIF(Programs!F2:F1000,D16)</x:f>
        <x:v>13</x:v>
      </x:c>
    </x:row>
    <x:row r="17">
      <x:c r="A17" s="12" t="str">
        <x:v>4</x:v>
      </x:c>
      <x:c r="B17" s="13" t="str">
        <x:v>Filter Cycle_Year / Status for upcoming opportunities.</x:v>
      </x:c>
    </x:row>
    <x:row r="18">
      <x:c r="A18" s="12" t="str">
        <x:v>5</x:v>
      </x:c>
      <x:c r="B18" s="13" t="str">
        <x:v>Open Program_URL before applying; use Last_Verified and Data_Confidence to prioritize re-checks.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e56f0d405d334739"/>
</x:worksheet>
</file>